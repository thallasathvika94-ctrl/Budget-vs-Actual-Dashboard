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28c21f4bf9620ba7/Desktop/"/>
    </mc:Choice>
  </mc:AlternateContent>
  <xr:revisionPtr revIDLastSave="844" documentId="13_ncr:1_{E9D737E1-3AE8-4252-A78B-FFC39DFFDA76}" xr6:coauthVersionLast="47" xr6:coauthVersionMax="47" xr10:uidLastSave="{9BD306BA-F4CE-4372-96C0-EC3DC7A26E17}"/>
  <bookViews>
    <workbookView xWindow="-110" yWindow="-110" windowWidth="19420" windowHeight="10300" firstSheet="4" activeTab="5" xr2:uid="{34B7F643-89CC-41C9-9DAC-C460AAA65915}"/>
  </bookViews>
  <sheets>
    <sheet name="budgetactual " sheetId="4" r:id="rId1"/>
    <sheet name="department" sheetId="5" r:id="rId2"/>
    <sheet name="category" sheetId="6" r:id="rId3"/>
    <sheet name="month" sheetId="7" r:id="rId4"/>
    <sheet name="budget" sheetId="8" r:id="rId5"/>
    <sheet name="dashboard" sheetId="10" r:id="rId6"/>
    <sheet name="monthvariance" sheetId="9" r:id="rId7"/>
    <sheet name="KPI Helper" sheetId="13" r:id="rId8"/>
    <sheet name="original data" sheetId="3" r:id="rId9"/>
    <sheet name="Financial Summary" sheetId="12" r:id="rId10"/>
  </sheets>
  <definedNames>
    <definedName name="Slicer_Category">#N/A</definedName>
    <definedName name="Slicer_Department">#N/A</definedName>
    <definedName name="Slicer_Month">#N/A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0" l="1"/>
  <c r="C6" i="10"/>
  <c r="E6" i="10"/>
  <c r="E3" i="12"/>
  <c r="E2" i="12"/>
  <c r="D3" i="12"/>
  <c r="C3" i="12"/>
  <c r="C2" i="12"/>
  <c r="D2" i="12"/>
  <c r="B3" i="12"/>
  <c r="B2" i="12"/>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2"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F45" i="3"/>
  <c r="G45" i="3"/>
  <c r="F46" i="3"/>
  <c r="G46" i="3"/>
  <c r="F47" i="3"/>
  <c r="G47" i="3"/>
  <c r="F48" i="3"/>
  <c r="G48" i="3"/>
  <c r="F49" i="3"/>
  <c r="G49" i="3"/>
  <c r="F50" i="3"/>
  <c r="G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F68" i="3"/>
  <c r="G68" i="3"/>
  <c r="F69" i="3"/>
  <c r="G69" i="3"/>
  <c r="F70" i="3"/>
  <c r="G70" i="3"/>
  <c r="F71" i="3"/>
  <c r="G71" i="3"/>
  <c r="F72" i="3"/>
  <c r="G72" i="3"/>
  <c r="F73" i="3"/>
  <c r="G73" i="3"/>
  <c r="F74" i="3"/>
  <c r="G74" i="3"/>
  <c r="F75" i="3"/>
  <c r="G75" i="3"/>
  <c r="F76" i="3"/>
  <c r="G76" i="3"/>
  <c r="F77" i="3"/>
  <c r="G77" i="3"/>
  <c r="F78" i="3"/>
  <c r="G78" i="3"/>
  <c r="F79" i="3"/>
  <c r="G79" i="3"/>
  <c r="F80" i="3"/>
  <c r="G80" i="3"/>
  <c r="F81" i="3"/>
  <c r="G81" i="3"/>
  <c r="F82" i="3"/>
  <c r="G82" i="3"/>
  <c r="F83" i="3"/>
  <c r="G83" i="3"/>
  <c r="F84" i="3"/>
  <c r="G84" i="3"/>
  <c r="F85" i="3"/>
  <c r="G85" i="3"/>
  <c r="G3" i="3"/>
  <c r="G4" i="3"/>
  <c r="G5" i="3"/>
  <c r="G6" i="3"/>
  <c r="G7" i="3"/>
  <c r="G8" i="3"/>
  <c r="G9" i="3"/>
  <c r="G10" i="3"/>
  <c r="G11" i="3"/>
  <c r="G12" i="3"/>
  <c r="G13" i="3"/>
  <c r="G2" i="3"/>
  <c r="F3" i="3"/>
  <c r="F4" i="3"/>
  <c r="F5" i="3"/>
  <c r="F6" i="3"/>
  <c r="F7" i="3"/>
  <c r="F8" i="3"/>
  <c r="F9" i="3"/>
  <c r="F10" i="3"/>
  <c r="F11" i="3"/>
  <c r="F12" i="3"/>
  <c r="F13" i="3"/>
  <c r="F2" i="3"/>
  <c r="G6" i="10" l="1"/>
</calcChain>
</file>

<file path=xl/sharedStrings.xml><?xml version="1.0" encoding="utf-8"?>
<sst xmlns="http://schemas.openxmlformats.org/spreadsheetml/2006/main" count="367" uniqueCount="65">
  <si>
    <t>Month</t>
  </si>
  <si>
    <t>Department</t>
  </si>
  <si>
    <t>Category</t>
  </si>
  <si>
    <t>Budget</t>
  </si>
  <si>
    <t>Actual</t>
  </si>
  <si>
    <t>Jan</t>
  </si>
  <si>
    <t>Sales</t>
  </si>
  <si>
    <t>Revenue</t>
  </si>
  <si>
    <t>Marketing</t>
  </si>
  <si>
    <t>Operations</t>
  </si>
  <si>
    <t>Salaries</t>
  </si>
  <si>
    <t>Rent</t>
  </si>
  <si>
    <t>Utilities</t>
  </si>
  <si>
    <t>IT</t>
  </si>
  <si>
    <t>Software</t>
  </si>
  <si>
    <t>Hardware</t>
  </si>
  <si>
    <t>Feb</t>
  </si>
  <si>
    <t>Mar</t>
  </si>
  <si>
    <t>Apr</t>
  </si>
  <si>
    <t>May</t>
  </si>
  <si>
    <t>Jun</t>
  </si>
  <si>
    <t>Jul</t>
  </si>
  <si>
    <t>Aug</t>
  </si>
  <si>
    <t>Sep</t>
  </si>
  <si>
    <t>Oct</t>
  </si>
  <si>
    <t>Nov</t>
  </si>
  <si>
    <t>Dec</t>
  </si>
  <si>
    <t>Variance</t>
  </si>
  <si>
    <t>Status</t>
  </si>
  <si>
    <t>Variance%</t>
  </si>
  <si>
    <t>Row Labels</t>
  </si>
  <si>
    <t>Grand Total</t>
  </si>
  <si>
    <t>Sum of Budget</t>
  </si>
  <si>
    <t>Sum of Actual</t>
  </si>
  <si>
    <t>Sum of Variance</t>
  </si>
  <si>
    <t>over buget</t>
  </si>
  <si>
    <t>Count of Status</t>
  </si>
  <si>
    <t>Total Budget</t>
  </si>
  <si>
    <t>Total Acutal</t>
  </si>
  <si>
    <t>Total Variance</t>
  </si>
  <si>
    <t>Budget VS Actual Financial Performance</t>
  </si>
  <si>
    <t>FY 2026 | Management Overview</t>
  </si>
  <si>
    <t>under buget</t>
  </si>
  <si>
    <t>Overall Performance</t>
  </si>
  <si>
    <t>Actual values exceed the total budget by ₹2.44 lakh.</t>
  </si>
  <si>
    <t>Monthly Trend</t>
  </si>
  <si>
    <t>Budget and actual values fluctuate across the year.</t>
  </si>
  <si>
    <t>Department Analysis</t>
  </si>
  <si>
    <t>Compare Sales, Operations, and IT to identify budget differences.</t>
  </si>
  <si>
    <t>Budget Status</t>
  </si>
  <si>
    <t>Track Over Budget, Under Budget, and On Budget records.</t>
  </si>
  <si>
    <t>Type</t>
  </si>
  <si>
    <t>Expense</t>
  </si>
  <si>
    <t>FINANCIAL PERFORMANCE SUMMARY</t>
  </si>
  <si>
    <t>Revenue Analysis</t>
  </si>
  <si>
    <t>Actual revenue exceeded budget by 2.23%, which is generally favorable.</t>
  </si>
  <si>
    <t>Expense Analysis</t>
  </si>
  <si>
    <t>Actual expenses exceeded budget by 2.67%, indicating overspending.</t>
  </si>
  <si>
    <t>Management Recommendation</t>
  </si>
  <si>
    <t>Review expense categories to identify opportunities for cost control.</t>
  </si>
  <si>
    <t>Overall Conclusion</t>
  </si>
  <si>
    <t>Revenue and expense performance should be evaluated separately for meaningful financial decisions.</t>
  </si>
  <si>
    <t>Sum of Variance%</t>
  </si>
  <si>
    <t>on budget</t>
  </si>
  <si>
    <t>Data Source:Internet Financial Data | Period:Jan-Dec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</si>
</sst>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quot;₹&quot;\ * #,##0_ ;_ &quot;₹&quot;\ * \-#,##0_ ;_ &quot;₹&quot;\ * &quot;-&quot;_ ;_ @_ "/>
    <numFmt numFmtId="44" formatCode="_ &quot;₹&quot;\ * #,##0.00_ ;_ &quot;₹&quot;\ * \-#,##0.00_ ;_ &quot;₹&quot;\ * &quot;-&quot;??_ ;_ @_ "/>
    <numFmt numFmtId="164" formatCode="0.000"/>
    <numFmt numFmtId="165" formatCode="&quot;₹&quot;\ #,##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22"/>
      <color rgb="FF4C1D5F"/>
      <name val="Aptos Narrow"/>
      <family val="2"/>
      <scheme val="minor"/>
    </font>
    <font>
      <sz val="11"/>
      <color rgb="FF4C1D5F"/>
      <name val="Aptos Narrow"/>
      <family val="2"/>
      <scheme val="minor"/>
    </font>
    <font>
      <b/>
      <sz val="18"/>
      <color rgb="FF4C1D5F"/>
      <name val="Aptos Narrow"/>
      <family val="2"/>
      <scheme val="minor"/>
    </font>
    <font>
      <b/>
      <u/>
      <sz val="18"/>
      <color rgb="FF4C1D5F"/>
      <name val="Aptos Narrow"/>
      <family val="2"/>
      <scheme val="minor"/>
    </font>
    <font>
      <b/>
      <sz val="11"/>
      <color rgb="FF4C1D5F"/>
      <name val="Aptos Narrow"/>
      <family val="2"/>
      <scheme val="minor"/>
    </font>
    <font>
      <sz val="8"/>
      <name val="Aptos Narrow"/>
      <family val="2"/>
      <scheme val="minor"/>
    </font>
    <font>
      <sz val="11"/>
      <color rgb="FFFCE7F3"/>
      <name val="Aptos Narrow"/>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rgb="FFFCE7F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3">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0" fillId="2" borderId="0" xfId="0" applyFill="1"/>
    <xf numFmtId="42" fontId="0" fillId="0" borderId="0" xfId="2" applyNumberFormat="1" applyFont="1"/>
    <xf numFmtId="10" fontId="0" fillId="0" borderId="0" xfId="1" applyNumberFormat="1" applyFont="1"/>
    <xf numFmtId="0" fontId="0" fillId="3" borderId="0" xfId="0" applyFill="1" applyAlignment="1">
      <alignment horizontal="left" vertical="center" indent="34"/>
    </xf>
    <xf numFmtId="0" fontId="0" fillId="3" borderId="0" xfId="0" applyFill="1" applyAlignment="1">
      <alignment horizontal="left" vertical="center" indent="7"/>
    </xf>
    <xf numFmtId="0" fontId="0" fillId="3" borderId="0" xfId="0" applyFill="1" applyAlignment="1">
      <alignment horizontal="left" indent="48"/>
    </xf>
    <xf numFmtId="0" fontId="0" fillId="3" borderId="0" xfId="0" applyFill="1" applyAlignment="1">
      <alignment horizontal="left" indent="47"/>
    </xf>
    <xf numFmtId="0" fontId="0" fillId="3" borderId="0" xfId="0" applyFill="1" applyAlignment="1">
      <alignment horizontal="left" indent="43"/>
    </xf>
    <xf numFmtId="0" fontId="0" fillId="3" borderId="0" xfId="0" applyFill="1"/>
    <xf numFmtId="0" fontId="0" fillId="3" borderId="0" xfId="0" applyFill="1" applyAlignment="1">
      <alignment horizontal="left" vertical="top"/>
    </xf>
    <xf numFmtId="0" fontId="0" fillId="3" borderId="0" xfId="0" applyFill="1" applyAlignment="1">
      <alignment horizontal="left" indent="16"/>
    </xf>
    <xf numFmtId="0" fontId="0" fillId="3" borderId="0" xfId="0" applyFill="1" applyAlignment="1">
      <alignment horizontal="center"/>
    </xf>
    <xf numFmtId="0" fontId="3" fillId="3" borderId="0" xfId="0" applyFont="1" applyFill="1"/>
    <xf numFmtId="0" fontId="2" fillId="3" borderId="0" xfId="0" applyFont="1" applyFill="1"/>
    <xf numFmtId="0" fontId="0" fillId="3" borderId="0" xfId="0" applyFill="1" applyAlignment="1">
      <alignment horizontal="left" indent="50"/>
    </xf>
    <xf numFmtId="0" fontId="5" fillId="3" borderId="0" xfId="0" applyFont="1" applyFill="1" applyAlignment="1">
      <alignment horizontal="left" vertical="center" indent="34"/>
    </xf>
    <xf numFmtId="0" fontId="6" fillId="3" borderId="0" xfId="0" applyFont="1" applyFill="1" applyAlignment="1">
      <alignment horizontal="left" vertical="top"/>
    </xf>
    <xf numFmtId="0" fontId="7" fillId="3" borderId="0" xfId="0" applyFont="1" applyFill="1" applyAlignment="1">
      <alignment horizontal="center" vertical="center"/>
    </xf>
    <xf numFmtId="0" fontId="8" fillId="3" borderId="0" xfId="0" applyFont="1" applyFill="1" applyAlignment="1">
      <alignment horizontal="center"/>
    </xf>
    <xf numFmtId="165" fontId="9" fillId="3" borderId="0" xfId="0" applyNumberFormat="1" applyFont="1" applyFill="1" applyAlignment="1">
      <alignment horizontal="center"/>
    </xf>
    <xf numFmtId="0" fontId="9" fillId="3" borderId="0" xfId="0" applyFont="1" applyFill="1" applyAlignment="1">
      <alignment horizontal="center"/>
    </xf>
    <xf numFmtId="42" fontId="9" fillId="3" borderId="0" xfId="0" applyNumberFormat="1" applyFont="1" applyFill="1" applyAlignment="1">
      <alignment horizontal="center"/>
    </xf>
    <xf numFmtId="10" fontId="9" fillId="3" borderId="0" xfId="1" applyNumberFormat="1" applyFont="1" applyFill="1" applyBorder="1" applyAlignment="1">
      <alignment horizontal="center"/>
    </xf>
    <xf numFmtId="0" fontId="4" fillId="0" borderId="0" xfId="0" applyFont="1" applyAlignment="1">
      <alignment horizontal="center"/>
    </xf>
    <xf numFmtId="0" fontId="0" fillId="0" borderId="0" xfId="0" applyNumberFormat="1"/>
    <xf numFmtId="42" fontId="2" fillId="0" borderId="0" xfId="0" applyNumberFormat="1" applyFont="1"/>
    <xf numFmtId="10" fontId="2" fillId="0" borderId="0" xfId="0" applyNumberFormat="1" applyFont="1"/>
    <xf numFmtId="0" fontId="11" fillId="3" borderId="0" xfId="0" applyFont="1" applyFill="1" applyAlignment="1">
      <alignment horizontal="left" indent="50"/>
    </xf>
  </cellXfs>
  <cellStyles count="3">
    <cellStyle name="Currency" xfId="2" builtinId="4"/>
    <cellStyle name="Normal" xfId="0" builtinId="0"/>
    <cellStyle name="Percent" xfId="1" builtinId="5"/>
  </cellStyles>
  <dxfs count="30">
    <dxf>
      <fill>
        <patternFill>
          <bgColor rgb="FFFF0000"/>
        </patternFill>
      </fill>
    </dxf>
    <dxf>
      <fill>
        <patternFill>
          <fgColor rgb="FF00B050"/>
          <bgColor rgb="FF00B050"/>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00B050"/>
        </patternFill>
      </fill>
    </dxf>
    <dxf>
      <fill>
        <patternFill>
          <bgColor rgb="FFFFFF00"/>
        </patternFill>
      </fill>
    </dxf>
    <dxf>
      <font>
        <color rgb="FF9C0006"/>
      </font>
      <fill>
        <patternFill>
          <bgColor rgb="FFFFC7CE"/>
        </patternFill>
      </fill>
    </dxf>
    <dxf>
      <font>
        <color rgb="FF006100"/>
      </font>
      <fill>
        <patternFill>
          <bgColor rgb="FFC6EFCE"/>
        </patternFill>
      </fill>
    </dxf>
    <dxf>
      <font>
        <b/>
        <i val="0"/>
        <u val="none"/>
        <sz val="14"/>
        <color rgb="FF4C1D5F"/>
        <name val="Aptos Display"/>
        <family val="2"/>
        <scheme val="major"/>
      </font>
    </dxf>
    <dxf>
      <font>
        <u val="none"/>
      </font>
      <fill>
        <patternFill>
          <bgColor rgb="FFFCE7F3"/>
        </patternFill>
      </fill>
    </dxf>
    <dxf>
      <numFmt numFmtId="14" formatCode="0.00%"/>
    </dxf>
    <dxf>
      <font>
        <b/>
      </font>
    </dxf>
    <dxf>
      <font>
        <b/>
      </font>
    </dxf>
    <dxf>
      <font>
        <b/>
      </font>
    </dxf>
    <dxf>
      <font>
        <b/>
      </font>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Pink Violet Dashboard" pivot="0" table="0" count="5" xr9:uid="{999E1DB6-62E3-48C3-A8CE-98D0A2615E23}">
      <tableStyleElement type="wholeTable" dxfId="10"/>
      <tableStyleElement type="headerRow" dxfId="9"/>
    </tableStyle>
  </tableStyles>
  <colors>
    <mruColors>
      <color rgb="FFFCE7F3"/>
      <color rgb="FF4C1D5F"/>
      <color rgb="FF9C3BC3"/>
      <color rgb="FFD8B8E8"/>
      <color rgb="FFE9A8CB"/>
      <color rgb="FFFA3CE3"/>
      <color rgb="FFFF66CC"/>
      <color rgb="FFFF33CC"/>
    </mruColors>
  </colors>
  <extLst>
    <ext xmlns:x14="http://schemas.microsoft.com/office/spreadsheetml/2009/9/main" uri="{46F421CA-312F-682f-3DD2-61675219B42D}">
      <x14:dxfs count="3">
        <dxf>
          <fill>
            <patternFill>
              <bgColor theme="8" tint="0.39994506668294322"/>
            </patternFill>
          </fill>
        </dxf>
        <dxf>
          <font>
            <color theme="0"/>
          </font>
          <fill>
            <patternFill>
              <fgColor theme="8" tint="-0.499984740745262"/>
              <bgColor rgb="FF9C3BC3"/>
            </patternFill>
          </fill>
        </dxf>
        <dxf>
          <font>
            <color theme="0"/>
          </font>
          <fill>
            <patternFill>
              <bgColor rgb="FF4C1D5F"/>
            </patternFill>
          </fill>
        </dxf>
      </x14:dxfs>
    </ext>
    <ext xmlns:x14="http://schemas.microsoft.com/office/spreadsheetml/2009/9/main" uri="{EB79DEF2-80B8-43e5-95BD-54CBDDF9020C}">
      <x14:slicerStyles defaultSlicerStyle="SlicerStyleLight1">
        <x14:slicerStyle name="Pink Violet Dashboard">
          <x14:slicerStyleElements>
            <x14:slicerStyleElement type="unselectedItemWithData" dxfId="2"/>
            <x14:slicerStyleElement type="unselectedItemWithNo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[budget vs actual financial analysis.xlsx]month!PivotTable3</c:name>
    <c:fmtId val="2"/>
  </c:pivotSource>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IN" b="1">
                <a:solidFill>
                  <a:srgbClr val="4C1D5F"/>
                </a:solidFill>
              </a:rPr>
              <a:t>Monthly</a:t>
            </a:r>
            <a:r>
              <a:rPr lang="en-IN" b="1" baseline="0">
                <a:solidFill>
                  <a:srgbClr val="4C1D5F"/>
                </a:solidFill>
              </a:rPr>
              <a:t> Budget vs Actual</a:t>
            </a:r>
            <a:endParaRPr lang="en-IN" b="1">
              <a:solidFill>
                <a:srgbClr val="4C1D5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A3C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C1D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Sum of Budget</c:v>
                </c:pt>
              </c:strCache>
            </c:strRef>
          </c:tx>
          <c:spPr>
            <a:solidFill>
              <a:srgbClr val="FA3CE3"/>
            </a:solidFill>
            <a:ln>
              <a:noFill/>
            </a:ln>
            <a:effectLst/>
          </c:spPr>
          <c:invertIfNegative val="0"/>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month!$B$4:$B$16</c:f>
              <c:numCache>
                <c:formatCode>General</c:formatCode>
                <c:ptCount val="12"/>
                <c:pt idx="0">
                  <c:v>935000</c:v>
                </c:pt>
                <c:pt idx="1">
                  <c:v>957000</c:v>
                </c:pt>
                <c:pt idx="2">
                  <c:v>1008000</c:v>
                </c:pt>
                <c:pt idx="3">
                  <c:v>1055000</c:v>
                </c:pt>
                <c:pt idx="4">
                  <c:v>1090000</c:v>
                </c:pt>
                <c:pt idx="5">
                  <c:v>1130000</c:v>
                </c:pt>
                <c:pt idx="6">
                  <c:v>1177000</c:v>
                </c:pt>
                <c:pt idx="7">
                  <c:v>1223000</c:v>
                </c:pt>
                <c:pt idx="8">
                  <c:v>1260000</c:v>
                </c:pt>
                <c:pt idx="9">
                  <c:v>1295000</c:v>
                </c:pt>
                <c:pt idx="10">
                  <c:v>1343000</c:v>
                </c:pt>
                <c:pt idx="11">
                  <c:v>1415000</c:v>
                </c:pt>
              </c:numCache>
            </c:numRef>
          </c:val>
          <c:extLst>
            <c:ext xmlns:c16="http://schemas.microsoft.com/office/drawing/2014/chart" uri="{C3380CC4-5D6E-409C-BE32-E72D297353CC}">
              <c16:uniqueId val="{00000000-DC7A-4370-B8BB-9D3665CCE229}"/>
            </c:ext>
          </c:extLst>
        </c:ser>
        <c:ser>
          <c:idx val="1"/>
          <c:order val="1"/>
          <c:tx>
            <c:strRef>
              <c:f>month!$C$3</c:f>
              <c:strCache>
                <c:ptCount val="1"/>
                <c:pt idx="0">
                  <c:v>Sum of Actual</c:v>
                </c:pt>
              </c:strCache>
            </c:strRef>
          </c:tx>
          <c:spPr>
            <a:solidFill>
              <a:srgbClr val="4C1D5F"/>
            </a:solidFill>
            <a:ln>
              <a:noFill/>
            </a:ln>
            <a:effectLst/>
          </c:spPr>
          <c:invertIfNegative val="0"/>
          <c:cat>
            <c:strRef>
              <c:f>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month!$C$4:$C$16</c:f>
              <c:numCache>
                <c:formatCode>General</c:formatCode>
                <c:ptCount val="12"/>
                <c:pt idx="0">
                  <c:v>957000</c:v>
                </c:pt>
                <c:pt idx="1">
                  <c:v>971000</c:v>
                </c:pt>
                <c:pt idx="2">
                  <c:v>1027000</c:v>
                </c:pt>
                <c:pt idx="3">
                  <c:v>1087000</c:v>
                </c:pt>
                <c:pt idx="4">
                  <c:v>1121000</c:v>
                </c:pt>
                <c:pt idx="5">
                  <c:v>1121000</c:v>
                </c:pt>
                <c:pt idx="6">
                  <c:v>1205000</c:v>
                </c:pt>
                <c:pt idx="7">
                  <c:v>1221000</c:v>
                </c:pt>
                <c:pt idx="8">
                  <c:v>1280000</c:v>
                </c:pt>
                <c:pt idx="9">
                  <c:v>1324000</c:v>
                </c:pt>
                <c:pt idx="10">
                  <c:v>1365000</c:v>
                </c:pt>
                <c:pt idx="11">
                  <c:v>1453000</c:v>
                </c:pt>
              </c:numCache>
            </c:numRef>
          </c:val>
          <c:extLst>
            <c:ext xmlns:c16="http://schemas.microsoft.com/office/drawing/2014/chart" uri="{C3380CC4-5D6E-409C-BE32-E72D297353CC}">
              <c16:uniqueId val="{00000001-DC7A-4370-B8BB-9D3665CCE229}"/>
            </c:ext>
          </c:extLst>
        </c:ser>
        <c:dLbls>
          <c:showLegendKey val="0"/>
          <c:showVal val="0"/>
          <c:showCatName val="0"/>
          <c:showSerName val="0"/>
          <c:showPercent val="0"/>
          <c:showBubbleSize val="0"/>
        </c:dLbls>
        <c:gapWidth val="219"/>
        <c:overlap val="-27"/>
        <c:axId val="1568660784"/>
        <c:axId val="1461875056"/>
      </c:barChart>
      <c:catAx>
        <c:axId val="15686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75056"/>
        <c:crosses val="autoZero"/>
        <c:auto val="1"/>
        <c:lblAlgn val="ctr"/>
        <c:lblOffset val="100"/>
        <c:noMultiLvlLbl val="0"/>
      </c:catAx>
      <c:valAx>
        <c:axId val="1461875056"/>
        <c:scaling>
          <c:orientation val="minMax"/>
        </c:scaling>
        <c:delete val="0"/>
        <c:axPos val="l"/>
        <c:majorGridlines>
          <c:spPr>
            <a:ln w="9525" cap="flat" cmpd="sng" algn="ctr">
              <a:no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60784"/>
        <c:crosses val="autoZero"/>
        <c:crossBetween val="between"/>
      </c:valAx>
      <c:spPr>
        <a:solidFill>
          <a:srgbClr val="FCE7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[budget vs actual financial analysis.xlsx]department!PivotTable1</c:name>
    <c:fmtId val="2"/>
  </c:pivotSource>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IN" b="1">
                <a:solidFill>
                  <a:srgbClr val="4C1D5F"/>
                </a:solidFill>
              </a:rPr>
              <a:t>Department</a:t>
            </a:r>
            <a:r>
              <a:rPr lang="en-IN" b="1" baseline="0">
                <a:solidFill>
                  <a:srgbClr val="4C1D5F"/>
                </a:solidFill>
              </a:rPr>
              <a:t> Performance</a:t>
            </a:r>
            <a:endParaRPr lang="en-IN" b="1">
              <a:solidFill>
                <a:srgbClr val="4C1D5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3CE3"/>
          </a:solidFill>
          <a:ln>
            <a:noFill/>
          </a:ln>
          <a:effectLst/>
        </c:spPr>
        <c:marker>
          <c:symbol val="none"/>
        </c:marker>
      </c:pivotFmt>
      <c:pivotFmt>
        <c:idx val="5"/>
        <c:spPr>
          <a:solidFill>
            <a:srgbClr val="4C1D5F"/>
          </a:solidFill>
          <a:ln>
            <a:noFill/>
          </a:ln>
          <a:effectLst/>
        </c:spPr>
        <c:marker>
          <c:symbol val="none"/>
        </c:marker>
      </c:pivotFmt>
    </c:pivotFmts>
    <c:plotArea>
      <c:layout/>
      <c:barChart>
        <c:barDir val="col"/>
        <c:grouping val="clustered"/>
        <c:varyColors val="0"/>
        <c:ser>
          <c:idx val="0"/>
          <c:order val="0"/>
          <c:tx>
            <c:strRef>
              <c:f>department!$B$3</c:f>
              <c:strCache>
                <c:ptCount val="1"/>
                <c:pt idx="0">
                  <c:v>Sum of Budget</c:v>
                </c:pt>
              </c:strCache>
            </c:strRef>
          </c:tx>
          <c:spPr>
            <a:solidFill>
              <a:srgbClr val="FA3CE3"/>
            </a:solidFill>
            <a:ln>
              <a:noFill/>
            </a:ln>
            <a:effectLst/>
          </c:spPr>
          <c:invertIfNegative val="0"/>
          <c:cat>
            <c:strRef>
              <c:f>department!$A$4:$A$7</c:f>
              <c:strCache>
                <c:ptCount val="3"/>
                <c:pt idx="0">
                  <c:v>IT</c:v>
                </c:pt>
                <c:pt idx="1">
                  <c:v>Operations</c:v>
                </c:pt>
                <c:pt idx="2">
                  <c:v>Sales</c:v>
                </c:pt>
              </c:strCache>
            </c:strRef>
          </c:cat>
          <c:val>
            <c:numRef>
              <c:f>department!$B$4:$B$7</c:f>
              <c:numCache>
                <c:formatCode>General</c:formatCode>
                <c:ptCount val="3"/>
                <c:pt idx="0">
                  <c:v>1285000</c:v>
                </c:pt>
                <c:pt idx="1">
                  <c:v>3638000</c:v>
                </c:pt>
                <c:pt idx="2">
                  <c:v>8965000</c:v>
                </c:pt>
              </c:numCache>
            </c:numRef>
          </c:val>
          <c:extLst>
            <c:ext xmlns:c16="http://schemas.microsoft.com/office/drawing/2014/chart" uri="{C3380CC4-5D6E-409C-BE32-E72D297353CC}">
              <c16:uniqueId val="{00000000-513E-4C78-B625-3BBD60387538}"/>
            </c:ext>
          </c:extLst>
        </c:ser>
        <c:ser>
          <c:idx val="1"/>
          <c:order val="1"/>
          <c:tx>
            <c:strRef>
              <c:f>department!$C$3</c:f>
              <c:strCache>
                <c:ptCount val="1"/>
                <c:pt idx="0">
                  <c:v>Sum of Actual</c:v>
                </c:pt>
              </c:strCache>
            </c:strRef>
          </c:tx>
          <c:spPr>
            <a:solidFill>
              <a:srgbClr val="4C1D5F"/>
            </a:solidFill>
            <a:ln>
              <a:noFill/>
            </a:ln>
            <a:effectLst/>
          </c:spPr>
          <c:invertIfNegative val="0"/>
          <c:cat>
            <c:strRef>
              <c:f>department!$A$4:$A$7</c:f>
              <c:strCache>
                <c:ptCount val="3"/>
                <c:pt idx="0">
                  <c:v>IT</c:v>
                </c:pt>
                <c:pt idx="1">
                  <c:v>Operations</c:v>
                </c:pt>
                <c:pt idx="2">
                  <c:v>Sales</c:v>
                </c:pt>
              </c:strCache>
            </c:strRef>
          </c:cat>
          <c:val>
            <c:numRef>
              <c:f>department!$C$4:$C$7</c:f>
              <c:numCache>
                <c:formatCode>General</c:formatCode>
                <c:ptCount val="3"/>
                <c:pt idx="0">
                  <c:v>1299000</c:v>
                </c:pt>
                <c:pt idx="1">
                  <c:v>3708000</c:v>
                </c:pt>
                <c:pt idx="2">
                  <c:v>9125000</c:v>
                </c:pt>
              </c:numCache>
            </c:numRef>
          </c:val>
          <c:extLst>
            <c:ext xmlns:c16="http://schemas.microsoft.com/office/drawing/2014/chart" uri="{C3380CC4-5D6E-409C-BE32-E72D297353CC}">
              <c16:uniqueId val="{00000001-513E-4C78-B625-3BBD60387538}"/>
            </c:ext>
          </c:extLst>
        </c:ser>
        <c:dLbls>
          <c:showLegendKey val="0"/>
          <c:showVal val="0"/>
          <c:showCatName val="0"/>
          <c:showSerName val="0"/>
          <c:showPercent val="0"/>
          <c:showBubbleSize val="0"/>
        </c:dLbls>
        <c:gapWidth val="219"/>
        <c:overlap val="-27"/>
        <c:axId val="2105336208"/>
        <c:axId val="2067291504"/>
      </c:barChart>
      <c:catAx>
        <c:axId val="21053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91504"/>
        <c:crosses val="autoZero"/>
        <c:auto val="1"/>
        <c:lblAlgn val="ctr"/>
        <c:lblOffset val="100"/>
        <c:noMultiLvlLbl val="0"/>
      </c:catAx>
      <c:valAx>
        <c:axId val="2067291504"/>
        <c:scaling>
          <c:orientation val="minMax"/>
        </c:scaling>
        <c:delete val="0"/>
        <c:axPos val="l"/>
        <c:majorGridlines>
          <c:spPr>
            <a:ln w="9525" cap="flat" cmpd="sng" algn="ctr">
              <a:no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336208"/>
        <c:crosses val="autoZero"/>
        <c:crossBetween val="between"/>
      </c:valAx>
      <c:spPr>
        <a:solidFill>
          <a:srgbClr val="FCE7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7F3"/>
    </a:solidFill>
    <a:ln w="15875" cap="flat" cmpd="sng" algn="ctr">
      <a:solidFill>
        <a:srgbClr val="4C1D5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[budget vs actual financial analysis.xlsx]category!PivotTable2</c:name>
    <c:fmtId val="2"/>
  </c:pivotSource>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IN" b="1">
                <a:solidFill>
                  <a:srgbClr val="4C1D5F"/>
                </a:solidFill>
              </a:rPr>
              <a:t>Category</a:t>
            </a:r>
            <a:r>
              <a:rPr lang="en-IN" b="1" baseline="0">
                <a:solidFill>
                  <a:srgbClr val="4C1D5F"/>
                </a:solidFill>
              </a:rPr>
              <a:t> Analysis</a:t>
            </a:r>
            <a:endParaRPr lang="en-IN" b="1">
              <a:solidFill>
                <a:srgbClr val="4C1D5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3C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C1D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Sum of Budget</c:v>
                </c:pt>
              </c:strCache>
            </c:strRef>
          </c:tx>
          <c:spPr>
            <a:solidFill>
              <a:srgbClr val="FA3CE3"/>
            </a:solidFill>
            <a:ln>
              <a:noFill/>
            </a:ln>
            <a:effectLst/>
          </c:spPr>
          <c:invertIfNegative val="0"/>
          <c:cat>
            <c:strRef>
              <c:f>category!$A$4:$A$11</c:f>
              <c:strCache>
                <c:ptCount val="7"/>
                <c:pt idx="0">
                  <c:v>Hardware</c:v>
                </c:pt>
                <c:pt idx="1">
                  <c:v>Marketing</c:v>
                </c:pt>
                <c:pt idx="2">
                  <c:v>Rent</c:v>
                </c:pt>
                <c:pt idx="3">
                  <c:v>Revenue</c:v>
                </c:pt>
                <c:pt idx="4">
                  <c:v>Salaries</c:v>
                </c:pt>
                <c:pt idx="5">
                  <c:v>Software</c:v>
                </c:pt>
                <c:pt idx="6">
                  <c:v>Utilities</c:v>
                </c:pt>
              </c:strCache>
            </c:strRef>
          </c:cat>
          <c:val>
            <c:numRef>
              <c:f>category!$B$4:$B$11</c:f>
              <c:numCache>
                <c:formatCode>General</c:formatCode>
                <c:ptCount val="7"/>
                <c:pt idx="0">
                  <c:v>607000</c:v>
                </c:pt>
                <c:pt idx="1">
                  <c:v>1295000</c:v>
                </c:pt>
                <c:pt idx="2">
                  <c:v>720000</c:v>
                </c:pt>
                <c:pt idx="3">
                  <c:v>7670000</c:v>
                </c:pt>
                <c:pt idx="4">
                  <c:v>2435000</c:v>
                </c:pt>
                <c:pt idx="5">
                  <c:v>678000</c:v>
                </c:pt>
                <c:pt idx="6">
                  <c:v>483000</c:v>
                </c:pt>
              </c:numCache>
            </c:numRef>
          </c:val>
          <c:extLst>
            <c:ext xmlns:c16="http://schemas.microsoft.com/office/drawing/2014/chart" uri="{C3380CC4-5D6E-409C-BE32-E72D297353CC}">
              <c16:uniqueId val="{00000000-CA57-4FEA-B385-AFBA4F2D25A3}"/>
            </c:ext>
          </c:extLst>
        </c:ser>
        <c:ser>
          <c:idx val="1"/>
          <c:order val="1"/>
          <c:tx>
            <c:strRef>
              <c:f>category!$C$3</c:f>
              <c:strCache>
                <c:ptCount val="1"/>
                <c:pt idx="0">
                  <c:v>Sum of Actual</c:v>
                </c:pt>
              </c:strCache>
            </c:strRef>
          </c:tx>
          <c:spPr>
            <a:solidFill>
              <a:srgbClr val="4C1D5F"/>
            </a:solidFill>
            <a:ln>
              <a:noFill/>
            </a:ln>
            <a:effectLst/>
          </c:spPr>
          <c:invertIfNegative val="0"/>
          <c:cat>
            <c:strRef>
              <c:f>category!$A$4:$A$11</c:f>
              <c:strCache>
                <c:ptCount val="7"/>
                <c:pt idx="0">
                  <c:v>Hardware</c:v>
                </c:pt>
                <c:pt idx="1">
                  <c:v>Marketing</c:v>
                </c:pt>
                <c:pt idx="2">
                  <c:v>Rent</c:v>
                </c:pt>
                <c:pt idx="3">
                  <c:v>Revenue</c:v>
                </c:pt>
                <c:pt idx="4">
                  <c:v>Salaries</c:v>
                </c:pt>
                <c:pt idx="5">
                  <c:v>Software</c:v>
                </c:pt>
                <c:pt idx="6">
                  <c:v>Utilities</c:v>
                </c:pt>
              </c:strCache>
            </c:strRef>
          </c:cat>
          <c:val>
            <c:numRef>
              <c:f>category!$C$4:$C$11</c:f>
              <c:numCache>
                <c:formatCode>General</c:formatCode>
                <c:ptCount val="7"/>
                <c:pt idx="0">
                  <c:v>602000</c:v>
                </c:pt>
                <c:pt idx="1">
                  <c:v>1295000</c:v>
                </c:pt>
                <c:pt idx="2">
                  <c:v>720000</c:v>
                </c:pt>
                <c:pt idx="3">
                  <c:v>7830000</c:v>
                </c:pt>
                <c:pt idx="4">
                  <c:v>2492000</c:v>
                </c:pt>
                <c:pt idx="5">
                  <c:v>697000</c:v>
                </c:pt>
                <c:pt idx="6">
                  <c:v>496000</c:v>
                </c:pt>
              </c:numCache>
            </c:numRef>
          </c:val>
          <c:extLst>
            <c:ext xmlns:c16="http://schemas.microsoft.com/office/drawing/2014/chart" uri="{C3380CC4-5D6E-409C-BE32-E72D297353CC}">
              <c16:uniqueId val="{00000001-CA57-4FEA-B385-AFBA4F2D25A3}"/>
            </c:ext>
          </c:extLst>
        </c:ser>
        <c:dLbls>
          <c:showLegendKey val="0"/>
          <c:showVal val="0"/>
          <c:showCatName val="0"/>
          <c:showSerName val="0"/>
          <c:showPercent val="0"/>
          <c:showBubbleSize val="0"/>
        </c:dLbls>
        <c:gapWidth val="219"/>
        <c:overlap val="-27"/>
        <c:axId val="297607488"/>
        <c:axId val="2067515664"/>
      </c:barChart>
      <c:catAx>
        <c:axId val="29760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515664"/>
        <c:crosses val="autoZero"/>
        <c:auto val="1"/>
        <c:lblAlgn val="ctr"/>
        <c:lblOffset val="100"/>
        <c:noMultiLvlLbl val="0"/>
      </c:catAx>
      <c:valAx>
        <c:axId val="2067515664"/>
        <c:scaling>
          <c:orientation val="minMax"/>
        </c:scaling>
        <c:delete val="0"/>
        <c:axPos val="l"/>
        <c:majorGridlines>
          <c:spPr>
            <a:ln w="9525" cap="flat" cmpd="sng" algn="ctr">
              <a:no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607488"/>
        <c:crosses val="autoZero"/>
        <c:crossBetween val="between"/>
      </c:valAx>
      <c:spPr>
        <a:solidFill>
          <a:srgbClr val="FCE7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7F3"/>
    </a:solidFill>
    <a:ln w="15875" cap="flat" cmpd="sng" algn="ctr">
      <a:solidFill>
        <a:srgbClr val="4C1D5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[budget vs actual financial analysis.xlsx]monthvariance!PivotTable1</c:name>
    <c:fmtId val="4"/>
  </c:pivotSource>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US" b="1">
                <a:solidFill>
                  <a:srgbClr val="4C1D5F"/>
                </a:solidFill>
              </a:rPr>
              <a:t>Monthly</a:t>
            </a:r>
            <a:r>
              <a:rPr lang="en-US" b="1" baseline="0">
                <a:solidFill>
                  <a:srgbClr val="4C1D5F"/>
                </a:solidFill>
              </a:rPr>
              <a:t> Budget Variance</a:t>
            </a:r>
            <a:endParaRPr lang="en-US" b="1">
              <a:solidFill>
                <a:srgbClr val="4C1D5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1D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monthvariance!$B$3</c:f>
              <c:strCache>
                <c:ptCount val="1"/>
                <c:pt idx="0">
                  <c:v>Total</c:v>
                </c:pt>
              </c:strCache>
            </c:strRef>
          </c:tx>
          <c:spPr>
            <a:solidFill>
              <a:srgbClr val="4C1D5F"/>
            </a:solidFill>
            <a:ln>
              <a:noFill/>
            </a:ln>
            <a:effectLst/>
          </c:spPr>
          <c:invertIfNegative val="0"/>
          <c:cat>
            <c:strRef>
              <c:f>monthvariance!$A$4:$A$16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monthvariance!$B$4:$B$16</c:f>
              <c:numCache>
                <c:formatCode>General</c:formatCode>
                <c:ptCount val="12"/>
                <c:pt idx="0">
                  <c:v>22000</c:v>
                </c:pt>
                <c:pt idx="1">
                  <c:v>14000</c:v>
                </c:pt>
                <c:pt idx="2">
                  <c:v>19000</c:v>
                </c:pt>
                <c:pt idx="3">
                  <c:v>32000</c:v>
                </c:pt>
                <c:pt idx="4">
                  <c:v>31000</c:v>
                </c:pt>
                <c:pt idx="5">
                  <c:v>-9000</c:v>
                </c:pt>
                <c:pt idx="6">
                  <c:v>28000</c:v>
                </c:pt>
                <c:pt idx="7">
                  <c:v>-2000</c:v>
                </c:pt>
                <c:pt idx="8">
                  <c:v>20000</c:v>
                </c:pt>
                <c:pt idx="9">
                  <c:v>29000</c:v>
                </c:pt>
                <c:pt idx="10">
                  <c:v>22000</c:v>
                </c:pt>
                <c:pt idx="11">
                  <c:v>38000</c:v>
                </c:pt>
              </c:numCache>
            </c:numRef>
          </c:val>
          <c:extLst>
            <c:ext xmlns:c16="http://schemas.microsoft.com/office/drawing/2014/chart" uri="{C3380CC4-5D6E-409C-BE32-E72D297353CC}">
              <c16:uniqueId val="{00000000-8AF8-41D7-900B-6343AD7A3F6C}"/>
            </c:ext>
          </c:extLst>
        </c:ser>
        <c:dLbls>
          <c:showLegendKey val="0"/>
          <c:showVal val="0"/>
          <c:showCatName val="0"/>
          <c:showSerName val="0"/>
          <c:showPercent val="0"/>
          <c:showBubbleSize val="0"/>
        </c:dLbls>
        <c:gapWidth val="219"/>
        <c:overlap val="-27"/>
        <c:axId val="288246400"/>
        <c:axId val="2067445584"/>
      </c:barChart>
      <c:catAx>
        <c:axId val="2882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45584"/>
        <c:crosses val="autoZero"/>
        <c:auto val="1"/>
        <c:lblAlgn val="ctr"/>
        <c:lblOffset val="100"/>
        <c:noMultiLvlLbl val="0"/>
      </c:catAx>
      <c:valAx>
        <c:axId val="2067445584"/>
        <c:scaling>
          <c:orientation val="minMax"/>
        </c:scaling>
        <c:delete val="0"/>
        <c:axPos val="l"/>
        <c:majorGridlines>
          <c:spPr>
            <a:ln w="9525" cap="flat" cmpd="sng" algn="ctr">
              <a:no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246400"/>
        <c:crosses val="autoZero"/>
        <c:crossBetween val="between"/>
      </c:valAx>
      <c:spPr>
        <a:solidFill>
          <a:srgbClr val="FCE7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7F3"/>
    </a:solidFill>
    <a:ln w="15875" cap="flat" cmpd="sng" algn="ctr">
      <a:solidFill>
        <a:srgbClr val="4C1D5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[budget vs actual financial analysis.xlsx]budget!PivotTable4</c:name>
    <c:fmtId val="2"/>
  </c:pivotSource>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IN" b="1">
                <a:solidFill>
                  <a:srgbClr val="4C1D5F"/>
                </a:solidFill>
              </a:rPr>
              <a:t>Budget Status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rgbClr val="4C1D5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C1D5F"/>
          </a:solidFill>
          <a:ln w="19050">
            <a:solidFill>
              <a:schemeClr val="lt1"/>
            </a:solidFill>
          </a:ln>
          <a:effectLst/>
        </c:spPr>
        <c:dLbl>
          <c:idx val="0"/>
          <c:layout>
            <c:manualLayout>
              <c:x val="0.11532125205930807"/>
              <c:y val="-1.044622310401640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9A8CB"/>
          </a:solidFill>
          <a:ln w="19050">
            <a:solidFill>
              <a:schemeClr val="lt1"/>
            </a:solidFill>
          </a:ln>
          <a:effectLst/>
        </c:spPr>
        <c:dLbl>
          <c:idx val="0"/>
          <c:layout>
            <c:manualLayout>
              <c:x val="-7.907742998352553E-2"/>
              <c:y val="2.279202279202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8B8E8"/>
          </a:solidFill>
          <a:ln w="19050">
            <a:solidFill>
              <a:schemeClr val="lt1"/>
            </a:solidFill>
          </a:ln>
          <a:effectLst/>
        </c:spPr>
        <c:dLbl>
          <c:idx val="0"/>
          <c:layout>
            <c:manualLayout>
              <c:x val="-4.2833607907743002E-2"/>
              <c:y val="-4.55838212531126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818780889621085E-2"/>
                  <c:h val="0.11957287390358254"/>
                </c:manualLayout>
              </c15:layout>
            </c:ext>
          </c:extLst>
        </c:dLbl>
      </c:pivotFmt>
    </c:pivotFmts>
    <c:plotArea>
      <c:layout/>
      <c:doughnutChart>
        <c:varyColors val="1"/>
        <c:ser>
          <c:idx val="0"/>
          <c:order val="0"/>
          <c:tx>
            <c:strRef>
              <c:f>budget!$B$3</c:f>
              <c:strCache>
                <c:ptCount val="1"/>
                <c:pt idx="0">
                  <c:v>Total</c:v>
                </c:pt>
              </c:strCache>
            </c:strRef>
          </c:tx>
          <c:spPr>
            <a:solidFill>
              <a:srgbClr val="4C1D5F"/>
            </a:solidFill>
          </c:spPr>
          <c:dPt>
            <c:idx val="0"/>
            <c:bubble3D val="0"/>
            <c:spPr>
              <a:solidFill>
                <a:srgbClr val="4C1D5F"/>
              </a:solidFill>
              <a:ln w="19050">
                <a:solidFill>
                  <a:schemeClr val="lt1"/>
                </a:solidFill>
              </a:ln>
              <a:effectLst/>
            </c:spPr>
            <c:extLst>
              <c:ext xmlns:c16="http://schemas.microsoft.com/office/drawing/2014/chart" uri="{C3380CC4-5D6E-409C-BE32-E72D297353CC}">
                <c16:uniqueId val="{00000001-9805-42AF-B8E8-A491712949DD}"/>
              </c:ext>
            </c:extLst>
          </c:dPt>
          <c:dPt>
            <c:idx val="1"/>
            <c:bubble3D val="0"/>
            <c:spPr>
              <a:solidFill>
                <a:srgbClr val="E9A8CB"/>
              </a:solidFill>
              <a:ln w="19050">
                <a:solidFill>
                  <a:schemeClr val="lt1"/>
                </a:solidFill>
              </a:ln>
              <a:effectLst/>
            </c:spPr>
            <c:extLst>
              <c:ext xmlns:c16="http://schemas.microsoft.com/office/drawing/2014/chart" uri="{C3380CC4-5D6E-409C-BE32-E72D297353CC}">
                <c16:uniqueId val="{00000003-9805-42AF-B8E8-A491712949DD}"/>
              </c:ext>
            </c:extLst>
          </c:dPt>
          <c:dPt>
            <c:idx val="2"/>
            <c:bubble3D val="0"/>
            <c:spPr>
              <a:solidFill>
                <a:srgbClr val="D8B8E8"/>
              </a:solidFill>
              <a:ln w="19050">
                <a:solidFill>
                  <a:schemeClr val="lt1"/>
                </a:solidFill>
              </a:ln>
              <a:effectLst/>
            </c:spPr>
            <c:extLst>
              <c:ext xmlns:c16="http://schemas.microsoft.com/office/drawing/2014/chart" uri="{C3380CC4-5D6E-409C-BE32-E72D297353CC}">
                <c16:uniqueId val="{00000005-9805-42AF-B8E8-A491712949DD}"/>
              </c:ext>
            </c:extLst>
          </c:dPt>
          <c:dLbls>
            <c:dLbl>
              <c:idx val="0"/>
              <c:layout>
                <c:manualLayout>
                  <c:x val="0.11532125205930807"/>
                  <c:y val="-1.044622310401640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05-42AF-B8E8-A491712949DD}"/>
                </c:ext>
              </c:extLst>
            </c:dLbl>
            <c:dLbl>
              <c:idx val="1"/>
              <c:layout>
                <c:manualLayout>
                  <c:x val="-7.907742998352553E-2"/>
                  <c:y val="2.2792022792022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05-42AF-B8E8-A491712949DD}"/>
                </c:ext>
              </c:extLst>
            </c:dLbl>
            <c:dLbl>
              <c:idx val="2"/>
              <c:layout>
                <c:manualLayout>
                  <c:x val="-4.2833607907743002E-2"/>
                  <c:y val="-4.55838212531126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818780889621085E-2"/>
                      <c:h val="0.11957287390358254"/>
                    </c:manualLayout>
                  </c15:layout>
                </c:ext>
                <c:ext xmlns:c16="http://schemas.microsoft.com/office/drawing/2014/chart" uri="{C3380CC4-5D6E-409C-BE32-E72D297353CC}">
                  <c16:uniqueId val="{00000005-9805-42AF-B8E8-A491712949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alpha val="47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budget!$A$4:$A$7</c:f>
              <c:strCache>
                <c:ptCount val="3"/>
                <c:pt idx="0">
                  <c:v>over buget</c:v>
                </c:pt>
                <c:pt idx="1">
                  <c:v>under buget</c:v>
                </c:pt>
                <c:pt idx="2">
                  <c:v>on budget</c:v>
                </c:pt>
              </c:strCache>
            </c:strRef>
          </c:cat>
          <c:val>
            <c:numRef>
              <c:f>budget!$B$4:$B$7</c:f>
              <c:numCache>
                <c:formatCode>General</c:formatCode>
                <c:ptCount val="3"/>
                <c:pt idx="0">
                  <c:v>47</c:v>
                </c:pt>
                <c:pt idx="1">
                  <c:v>25</c:v>
                </c:pt>
                <c:pt idx="2">
                  <c:v>12</c:v>
                </c:pt>
              </c:numCache>
            </c:numRef>
          </c:val>
          <c:extLst>
            <c:ext xmlns:c16="http://schemas.microsoft.com/office/drawing/2014/chart" uri="{C3380CC4-5D6E-409C-BE32-E72D297353CC}">
              <c16:uniqueId val="{00000006-5816-4E95-97B8-E49C7010B6E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E7F3"/>
    </a:solidFill>
    <a:ln w="15875" cap="flat" cmpd="sng" algn="ctr">
      <a:solidFill>
        <a:srgbClr val="4C1D5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r>
              <a:rPr lang="en-IN" b="1">
                <a:solidFill>
                  <a:srgbClr val="4C1D5F"/>
                </a:solidFill>
              </a:rPr>
              <a:t>Budget , Actual </a:t>
            </a:r>
            <a:r>
              <a:rPr lang="en-IN" b="1" baseline="0">
                <a:solidFill>
                  <a:srgbClr val="4C1D5F"/>
                </a:solidFill>
              </a:rPr>
              <a:t>&amp; Variance Comparison</a:t>
            </a:r>
            <a:endParaRPr lang="en-IN" b="1">
              <a:solidFill>
                <a:srgbClr val="4C1D5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C1D5F"/>
              </a:solidFill>
              <a:latin typeface="+mn-lt"/>
              <a:ea typeface="+mn-ea"/>
              <a:cs typeface="+mn-cs"/>
            </a:defRPr>
          </a:pPr>
          <a:endParaRPr lang="en-IN"/>
        </a:p>
      </c:txPr>
    </c:title>
    <c:autoTitleDeleted val="0"/>
    <c:plotArea>
      <c:layout/>
      <c:barChart>
        <c:barDir val="col"/>
        <c:grouping val="clustered"/>
        <c:varyColors val="0"/>
        <c:ser>
          <c:idx val="0"/>
          <c:order val="0"/>
          <c:tx>
            <c:strRef>
              <c:f>'Financial Summary'!$A$2</c:f>
              <c:strCache>
                <c:ptCount val="1"/>
                <c:pt idx="0">
                  <c:v>Revenue</c:v>
                </c:pt>
              </c:strCache>
            </c:strRef>
          </c:tx>
          <c:spPr>
            <a:solidFill>
              <a:srgbClr val="FA3CE3"/>
            </a:solidFill>
            <a:ln>
              <a:noFill/>
            </a:ln>
            <a:effectLst/>
          </c:spPr>
          <c:invertIfNegative val="0"/>
          <c:cat>
            <c:strRef>
              <c:f>'Financial Summary'!$B$1:$D$1</c:f>
              <c:strCache>
                <c:ptCount val="3"/>
                <c:pt idx="0">
                  <c:v>Budget</c:v>
                </c:pt>
                <c:pt idx="1">
                  <c:v>Actual</c:v>
                </c:pt>
                <c:pt idx="2">
                  <c:v>Variance</c:v>
                </c:pt>
              </c:strCache>
            </c:strRef>
          </c:cat>
          <c:val>
            <c:numRef>
              <c:f>'Financial Summary'!$B$2:$D$2</c:f>
              <c:numCache>
                <c:formatCode>_("₹"* #,##0_);_("₹"* \(#,##0\);_("₹"* "-"_);_(@_)</c:formatCode>
                <c:ptCount val="3"/>
                <c:pt idx="0">
                  <c:v>7670000</c:v>
                </c:pt>
                <c:pt idx="1">
                  <c:v>7830000</c:v>
                </c:pt>
                <c:pt idx="2">
                  <c:v>160000</c:v>
                </c:pt>
              </c:numCache>
            </c:numRef>
          </c:val>
          <c:extLst>
            <c:ext xmlns:c16="http://schemas.microsoft.com/office/drawing/2014/chart" uri="{C3380CC4-5D6E-409C-BE32-E72D297353CC}">
              <c16:uniqueId val="{00000000-A11C-4728-87B6-41141863FDD0}"/>
            </c:ext>
          </c:extLst>
        </c:ser>
        <c:ser>
          <c:idx val="1"/>
          <c:order val="1"/>
          <c:tx>
            <c:strRef>
              <c:f>'Financial Summary'!$A$3</c:f>
              <c:strCache>
                <c:ptCount val="1"/>
                <c:pt idx="0">
                  <c:v>Expense</c:v>
                </c:pt>
              </c:strCache>
            </c:strRef>
          </c:tx>
          <c:spPr>
            <a:solidFill>
              <a:srgbClr val="4C1D5F"/>
            </a:solidFill>
            <a:ln>
              <a:noFill/>
            </a:ln>
            <a:effectLst/>
          </c:spPr>
          <c:invertIfNegative val="0"/>
          <c:cat>
            <c:strRef>
              <c:f>'Financial Summary'!$B$1:$D$1</c:f>
              <c:strCache>
                <c:ptCount val="3"/>
                <c:pt idx="0">
                  <c:v>Budget</c:v>
                </c:pt>
                <c:pt idx="1">
                  <c:v>Actual</c:v>
                </c:pt>
                <c:pt idx="2">
                  <c:v>Variance</c:v>
                </c:pt>
              </c:strCache>
            </c:strRef>
          </c:cat>
          <c:val>
            <c:numRef>
              <c:f>'Financial Summary'!$B$3:$D$3</c:f>
              <c:numCache>
                <c:formatCode>_("₹"* #,##0_);_("₹"* \(#,##0\);_("₹"* "-"_);_(@_)</c:formatCode>
                <c:ptCount val="3"/>
                <c:pt idx="0">
                  <c:v>6218000</c:v>
                </c:pt>
                <c:pt idx="1">
                  <c:v>6302000</c:v>
                </c:pt>
                <c:pt idx="2">
                  <c:v>84000</c:v>
                </c:pt>
              </c:numCache>
            </c:numRef>
          </c:val>
          <c:extLst>
            <c:ext xmlns:c16="http://schemas.microsoft.com/office/drawing/2014/chart" uri="{C3380CC4-5D6E-409C-BE32-E72D297353CC}">
              <c16:uniqueId val="{00000001-A11C-4728-87B6-41141863FDD0}"/>
            </c:ext>
          </c:extLst>
        </c:ser>
        <c:dLbls>
          <c:showLegendKey val="0"/>
          <c:showVal val="0"/>
          <c:showCatName val="0"/>
          <c:showSerName val="0"/>
          <c:showPercent val="0"/>
          <c:showBubbleSize val="0"/>
        </c:dLbls>
        <c:gapWidth val="219"/>
        <c:overlap val="-27"/>
        <c:axId val="858725103"/>
        <c:axId val="868476175"/>
      </c:barChart>
      <c:catAx>
        <c:axId val="85872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76175"/>
        <c:crosses val="autoZero"/>
        <c:auto val="1"/>
        <c:lblAlgn val="ctr"/>
        <c:lblOffset val="100"/>
        <c:noMultiLvlLbl val="0"/>
      </c:catAx>
      <c:valAx>
        <c:axId val="8684761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725103"/>
        <c:crosses val="autoZero"/>
        <c:crossBetween val="between"/>
      </c:valAx>
      <c:spPr>
        <a:solidFill>
          <a:srgbClr val="FCE7F3"/>
        </a:solidFill>
        <a:ln>
          <a:noFill/>
        </a:ln>
        <a:effectLst/>
      </c:spPr>
    </c:plotArea>
    <c:plotVisOnly val="1"/>
    <c:dispBlanksAs val="gap"/>
    <c:showDLblsOverMax val="0"/>
  </c:chart>
  <c:spPr>
    <a:solidFill>
      <a:srgbClr val="FCE7F3"/>
    </a:solidFill>
    <a:ln w="15875" cap="flat" cmpd="sng" algn="ctr">
      <a:solidFill>
        <a:srgbClr val="4C1D5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7</xdr:col>
      <xdr:colOff>6350</xdr:colOff>
      <xdr:row>6</xdr:row>
      <xdr:rowOff>44450</xdr:rowOff>
    </xdr:from>
    <xdr:to>
      <xdr:col>10</xdr:col>
      <xdr:colOff>6350</xdr:colOff>
      <xdr:row>20</xdr:row>
      <xdr:rowOff>85722</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8F3DE30D-52EE-37F0-0AFC-259889D6D8D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080000" y="11493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36512</xdr:rowOff>
    </xdr:from>
    <xdr:to>
      <xdr:col>7</xdr:col>
      <xdr:colOff>590550</xdr:colOff>
      <xdr:row>2</xdr:row>
      <xdr:rowOff>139700</xdr:rowOff>
    </xdr:to>
    <xdr:sp macro="" textlink="">
      <xdr:nvSpPr>
        <xdr:cNvPr id="42" name="Rectangle: Rounded Corners 41">
          <a:extLst>
            <a:ext uri="{FF2B5EF4-FFF2-40B4-BE49-F238E27FC236}">
              <a16:creationId xmlns:a16="http://schemas.microsoft.com/office/drawing/2014/main" id="{724EC521-5FA6-3E97-8E37-E9A79BACE775}"/>
            </a:ext>
          </a:extLst>
        </xdr:cNvPr>
        <xdr:cNvSpPr/>
      </xdr:nvSpPr>
      <xdr:spPr>
        <a:xfrm>
          <a:off x="85726" y="36512"/>
          <a:ext cx="9420224" cy="649288"/>
        </a:xfrm>
        <a:prstGeom prst="roundRect">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103187</xdr:colOff>
      <xdr:row>3</xdr:row>
      <xdr:rowOff>23812</xdr:rowOff>
    </xdr:from>
    <xdr:to>
      <xdr:col>1</xdr:col>
      <xdr:colOff>746125</xdr:colOff>
      <xdr:row>6</xdr:row>
      <xdr:rowOff>15874</xdr:rowOff>
    </xdr:to>
    <xdr:sp macro="" textlink="">
      <xdr:nvSpPr>
        <xdr:cNvPr id="34" name="Rectangle: Rounded Corners 33">
          <a:extLst>
            <a:ext uri="{FF2B5EF4-FFF2-40B4-BE49-F238E27FC236}">
              <a16:creationId xmlns:a16="http://schemas.microsoft.com/office/drawing/2014/main" id="{0E93998D-5B5B-FD03-DF5B-E647FF1556A2}"/>
            </a:ext>
          </a:extLst>
        </xdr:cNvPr>
        <xdr:cNvSpPr/>
      </xdr:nvSpPr>
      <xdr:spPr>
        <a:xfrm>
          <a:off x="103187" y="754062"/>
          <a:ext cx="2055813" cy="658812"/>
        </a:xfrm>
        <a:prstGeom prst="roundRect">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349252</xdr:colOff>
      <xdr:row>7</xdr:row>
      <xdr:rowOff>31752</xdr:rowOff>
    </xdr:from>
    <xdr:to>
      <xdr:col>6</xdr:col>
      <xdr:colOff>246064</xdr:colOff>
      <xdr:row>15</xdr:row>
      <xdr:rowOff>142876</xdr:rowOff>
    </xdr:to>
    <xdr:sp macro="" textlink="">
      <xdr:nvSpPr>
        <xdr:cNvPr id="16" name="Rectangle: Rounded Corners 15">
          <a:extLst>
            <a:ext uri="{FF2B5EF4-FFF2-40B4-BE49-F238E27FC236}">
              <a16:creationId xmlns:a16="http://schemas.microsoft.com/office/drawing/2014/main" id="{6839EA86-CE8C-C8EC-0C47-CD926FC48A45}"/>
            </a:ext>
          </a:extLst>
        </xdr:cNvPr>
        <xdr:cNvSpPr/>
      </xdr:nvSpPr>
      <xdr:spPr>
        <a:xfrm>
          <a:off x="5357815" y="1611315"/>
          <a:ext cx="2397124" cy="1571624"/>
        </a:xfrm>
        <a:prstGeom prst="roundRect">
          <a:avLst>
            <a:gd name="adj" fmla="val 8586"/>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833437</xdr:colOff>
      <xdr:row>7</xdr:row>
      <xdr:rowOff>7937</xdr:rowOff>
    </xdr:from>
    <xdr:to>
      <xdr:col>4</xdr:col>
      <xdr:colOff>206375</xdr:colOff>
      <xdr:row>15</xdr:row>
      <xdr:rowOff>127000</xdr:rowOff>
    </xdr:to>
    <xdr:sp macro="" textlink="">
      <xdr:nvSpPr>
        <xdr:cNvPr id="10" name="Rectangle: Rounded Corners 9">
          <a:extLst>
            <a:ext uri="{FF2B5EF4-FFF2-40B4-BE49-F238E27FC236}">
              <a16:creationId xmlns:a16="http://schemas.microsoft.com/office/drawing/2014/main" id="{0313C5A8-6EFD-EB2A-7150-31FCD00F2782}"/>
            </a:ext>
          </a:extLst>
        </xdr:cNvPr>
        <xdr:cNvSpPr/>
      </xdr:nvSpPr>
      <xdr:spPr>
        <a:xfrm>
          <a:off x="2246312" y="1587500"/>
          <a:ext cx="2968626" cy="1579563"/>
        </a:xfrm>
        <a:prstGeom prst="roundRect">
          <a:avLst>
            <a:gd name="adj" fmla="val 11642"/>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xdr:colOff>
      <xdr:row>7</xdr:row>
      <xdr:rowOff>15875</xdr:rowOff>
    </xdr:from>
    <xdr:to>
      <xdr:col>1</xdr:col>
      <xdr:colOff>698500</xdr:colOff>
      <xdr:row>15</xdr:row>
      <xdr:rowOff>142875</xdr:rowOff>
    </xdr:to>
    <xdr:sp macro="" textlink="">
      <xdr:nvSpPr>
        <xdr:cNvPr id="14" name="Rectangle: Rounded Corners 13">
          <a:extLst>
            <a:ext uri="{FF2B5EF4-FFF2-40B4-BE49-F238E27FC236}">
              <a16:creationId xmlns:a16="http://schemas.microsoft.com/office/drawing/2014/main" id="{743B7C9B-EA10-D90E-5104-4B1AF7C6A85F}"/>
            </a:ext>
          </a:extLst>
        </xdr:cNvPr>
        <xdr:cNvSpPr/>
      </xdr:nvSpPr>
      <xdr:spPr>
        <a:xfrm>
          <a:off x="31750" y="1595438"/>
          <a:ext cx="2079625" cy="1587500"/>
        </a:xfrm>
        <a:prstGeom prst="roundRect">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16</xdr:row>
      <xdr:rowOff>50800</xdr:rowOff>
    </xdr:from>
    <xdr:to>
      <xdr:col>2</xdr:col>
      <xdr:colOff>1104901</xdr:colOff>
      <xdr:row>28</xdr:row>
      <xdr:rowOff>82550</xdr:rowOff>
    </xdr:to>
    <xdr:sp macro="" textlink="">
      <xdr:nvSpPr>
        <xdr:cNvPr id="13" name="Rectangle: Rounded Corners 12">
          <a:extLst>
            <a:ext uri="{FF2B5EF4-FFF2-40B4-BE49-F238E27FC236}">
              <a16:creationId xmlns:a16="http://schemas.microsoft.com/office/drawing/2014/main" id="{B66D4E3E-BB71-6759-C76E-9C27766E5DBB}"/>
            </a:ext>
          </a:extLst>
        </xdr:cNvPr>
        <xdr:cNvSpPr/>
      </xdr:nvSpPr>
      <xdr:spPr>
        <a:xfrm>
          <a:off x="152400" y="3289300"/>
          <a:ext cx="3454401" cy="2241550"/>
        </a:xfrm>
        <a:prstGeom prst="roundRect">
          <a:avLst>
            <a:gd name="adj" fmla="val 6310"/>
          </a:avLst>
        </a:prstGeom>
        <a:solidFill>
          <a:srgbClr val="FCE7F3"/>
        </a:solidFill>
        <a:ln w="15875">
          <a:solidFill>
            <a:srgbClr val="4C1D5F"/>
          </a:solidFill>
          <a:round/>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146050</xdr:colOff>
      <xdr:row>17</xdr:row>
      <xdr:rowOff>7938</xdr:rowOff>
    </xdr:from>
    <xdr:to>
      <xdr:col>2</xdr:col>
      <xdr:colOff>825500</xdr:colOff>
      <xdr:row>27</xdr:row>
      <xdr:rowOff>44451</xdr:rowOff>
    </xdr:to>
    <xdr:graphicFrame macro="">
      <xdr:nvGraphicFramePr>
        <xdr:cNvPr id="2" name="Chart 1">
          <a:extLst>
            <a:ext uri="{FF2B5EF4-FFF2-40B4-BE49-F238E27FC236}">
              <a16:creationId xmlns:a16="http://schemas.microsoft.com/office/drawing/2014/main" id="{CB6A426E-E2E4-4FAC-A5D6-AEF28EDA5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1244600</xdr:colOff>
      <xdr:row>17</xdr:row>
      <xdr:rowOff>19050</xdr:rowOff>
    </xdr:from>
    <xdr:to>
      <xdr:col>5</xdr:col>
      <xdr:colOff>946150</xdr:colOff>
      <xdr:row>26</xdr:row>
      <xdr:rowOff>114300</xdr:rowOff>
    </xdr:to>
    <xdr:graphicFrame macro="">
      <xdr:nvGraphicFramePr>
        <xdr:cNvPr id="3" name="Chart 2">
          <a:extLst>
            <a:ext uri="{FF2B5EF4-FFF2-40B4-BE49-F238E27FC236}">
              <a16:creationId xmlns:a16="http://schemas.microsoft.com/office/drawing/2014/main" id="{409A4378-1551-4155-A756-446B4526A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29</xdr:row>
      <xdr:rowOff>12700</xdr:rowOff>
    </xdr:from>
    <xdr:to>
      <xdr:col>2</xdr:col>
      <xdr:colOff>641350</xdr:colOff>
      <xdr:row>39</xdr:row>
      <xdr:rowOff>152400</xdr:rowOff>
    </xdr:to>
    <xdr:graphicFrame macro="">
      <xdr:nvGraphicFramePr>
        <xdr:cNvPr id="4" name="Chart 3">
          <a:extLst>
            <a:ext uri="{FF2B5EF4-FFF2-40B4-BE49-F238E27FC236}">
              <a16:creationId xmlns:a16="http://schemas.microsoft.com/office/drawing/2014/main" id="{BA7BDAFE-DB3D-4D25-8CAF-82EB5BDCA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1130300</xdr:colOff>
      <xdr:row>16</xdr:row>
      <xdr:rowOff>171450</xdr:rowOff>
    </xdr:from>
    <xdr:to>
      <xdr:col>9</xdr:col>
      <xdr:colOff>107950</xdr:colOff>
      <xdr:row>27</xdr:row>
      <xdr:rowOff>107950</xdr:rowOff>
    </xdr:to>
    <xdr:graphicFrame macro="">
      <xdr:nvGraphicFramePr>
        <xdr:cNvPr id="5" name="Chart 4">
          <a:extLst>
            <a:ext uri="{FF2B5EF4-FFF2-40B4-BE49-F238E27FC236}">
              <a16:creationId xmlns:a16="http://schemas.microsoft.com/office/drawing/2014/main" id="{E4809C84-ABDB-4433-B451-821CC62FE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768350</xdr:colOff>
      <xdr:row>29</xdr:row>
      <xdr:rowOff>109538</xdr:rowOff>
    </xdr:from>
    <xdr:to>
      <xdr:col>5</xdr:col>
      <xdr:colOff>212725</xdr:colOff>
      <xdr:row>40</xdr:row>
      <xdr:rowOff>44450</xdr:rowOff>
    </xdr:to>
    <xdr:graphicFrame macro="">
      <xdr:nvGraphicFramePr>
        <xdr:cNvPr id="6" name="Chart 5">
          <a:extLst>
            <a:ext uri="{FF2B5EF4-FFF2-40B4-BE49-F238E27FC236}">
              <a16:creationId xmlns:a16="http://schemas.microsoft.com/office/drawing/2014/main" id="{9229A9B0-FEF6-4448-8233-FA8D8AADB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101600</xdr:colOff>
      <xdr:row>8</xdr:row>
      <xdr:rowOff>0</xdr:rowOff>
    </xdr:from>
    <xdr:to>
      <xdr:col>1</xdr:col>
      <xdr:colOff>541576</xdr:colOff>
      <xdr:row>14</xdr:row>
      <xdr:rowOff>171451</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BC6F340-6FBC-FFA9-744A-6148B9C74B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600" y="1762125"/>
              <a:ext cx="1852851"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904875</xdr:colOff>
      <xdr:row>7</xdr:row>
      <xdr:rowOff>127000</xdr:rowOff>
    </xdr:from>
    <xdr:to>
      <xdr:col>4</xdr:col>
      <xdr:colOff>111125</xdr:colOff>
      <xdr:row>14</xdr:row>
      <xdr:rowOff>174625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3209602-6254-9474-BC4C-DE1B06562D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27275" y="1768475"/>
              <a:ext cx="2443162" cy="132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507999</xdr:colOff>
      <xdr:row>7</xdr:row>
      <xdr:rowOff>114300</xdr:rowOff>
    </xdr:from>
    <xdr:to>
      <xdr:col>5</xdr:col>
      <xdr:colOff>1273174</xdr:colOff>
      <xdr:row>14</xdr:row>
      <xdr:rowOff>107951</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97BB03A8-E8BC-F8F1-DBAB-BF2FD018C4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519614" y="1706685"/>
              <a:ext cx="2171945" cy="1292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0</xdr:row>
      <xdr:rowOff>109538</xdr:rowOff>
    </xdr:from>
    <xdr:to>
      <xdr:col>6</xdr:col>
      <xdr:colOff>735012</xdr:colOff>
      <xdr:row>2</xdr:row>
      <xdr:rowOff>166688</xdr:rowOff>
    </xdr:to>
    <xdr:pic>
      <xdr:nvPicPr>
        <xdr:cNvPr id="11" name="Graphic 10" descr="Upward trend with solid fill">
          <a:extLst>
            <a:ext uri="{FF2B5EF4-FFF2-40B4-BE49-F238E27FC236}">
              <a16:creationId xmlns:a16="http://schemas.microsoft.com/office/drawing/2014/main" id="{B5AFA17E-C88E-EDB1-8E0F-67757032E12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5400" y="109538"/>
          <a:ext cx="601662" cy="603250"/>
        </a:xfrm>
        <a:prstGeom prst="rect">
          <a:avLst/>
        </a:prstGeom>
      </xdr:spPr>
    </xdr:pic>
    <xdr:clientData/>
  </xdr:twoCellAnchor>
  <xdr:twoCellAnchor editAs="oneCell">
    <xdr:from>
      <xdr:col>0</xdr:col>
      <xdr:colOff>884200</xdr:colOff>
      <xdr:row>0</xdr:row>
      <xdr:rowOff>69850</xdr:rowOff>
    </xdr:from>
    <xdr:to>
      <xdr:col>1</xdr:col>
      <xdr:colOff>96800</xdr:colOff>
      <xdr:row>2</xdr:row>
      <xdr:rowOff>152400</xdr:rowOff>
    </xdr:to>
    <xdr:pic>
      <xdr:nvPicPr>
        <xdr:cNvPr id="15" name="Graphic 14" descr="Coins with solid fill">
          <a:extLst>
            <a:ext uri="{FF2B5EF4-FFF2-40B4-BE49-F238E27FC236}">
              <a16:creationId xmlns:a16="http://schemas.microsoft.com/office/drawing/2014/main" id="{731C9266-0846-DEDC-8043-A3ECE4F926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84200" y="69850"/>
          <a:ext cx="628650" cy="628650"/>
        </a:xfrm>
        <a:prstGeom prst="rect">
          <a:avLst/>
        </a:prstGeom>
      </xdr:spPr>
    </xdr:pic>
    <xdr:clientData/>
  </xdr:twoCellAnchor>
  <xdr:twoCellAnchor editAs="oneCell">
    <xdr:from>
      <xdr:col>6</xdr:col>
      <xdr:colOff>1036637</xdr:colOff>
      <xdr:row>0</xdr:row>
      <xdr:rowOff>57150</xdr:rowOff>
    </xdr:from>
    <xdr:to>
      <xdr:col>7</xdr:col>
      <xdr:colOff>293688</xdr:colOff>
      <xdr:row>2</xdr:row>
      <xdr:rowOff>171450</xdr:rowOff>
    </xdr:to>
    <xdr:pic>
      <xdr:nvPicPr>
        <xdr:cNvPr id="17" name="Graphic 16" descr="Money with solid fill">
          <a:extLst>
            <a:ext uri="{FF2B5EF4-FFF2-40B4-BE49-F238E27FC236}">
              <a16:creationId xmlns:a16="http://schemas.microsoft.com/office/drawing/2014/main" id="{A09CE634-63DF-282F-FE8A-A4509E8134B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548687" y="57150"/>
          <a:ext cx="660401" cy="660400"/>
        </a:xfrm>
        <a:prstGeom prst="rect">
          <a:avLst/>
        </a:prstGeom>
      </xdr:spPr>
    </xdr:pic>
    <xdr:clientData/>
  </xdr:twoCellAnchor>
  <xdr:twoCellAnchor editAs="oneCell">
    <xdr:from>
      <xdr:col>0</xdr:col>
      <xdr:colOff>206300</xdr:colOff>
      <xdr:row>0</xdr:row>
      <xdr:rowOff>69850</xdr:rowOff>
    </xdr:from>
    <xdr:to>
      <xdr:col>0</xdr:col>
      <xdr:colOff>800100</xdr:colOff>
      <xdr:row>2</xdr:row>
      <xdr:rowOff>117550</xdr:rowOff>
    </xdr:to>
    <xdr:pic>
      <xdr:nvPicPr>
        <xdr:cNvPr id="19" name="Graphic 18" descr="Shopping cart with solid fill">
          <a:extLst>
            <a:ext uri="{FF2B5EF4-FFF2-40B4-BE49-F238E27FC236}">
              <a16:creationId xmlns:a16="http://schemas.microsoft.com/office/drawing/2014/main" id="{7CA5F511-FC6B-445D-E58A-D209769646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6300" y="69850"/>
          <a:ext cx="593800" cy="593800"/>
        </a:xfrm>
        <a:prstGeom prst="rect">
          <a:avLst/>
        </a:prstGeom>
      </xdr:spPr>
    </xdr:pic>
    <xdr:clientData/>
  </xdr:twoCellAnchor>
  <xdr:twoCellAnchor>
    <xdr:from>
      <xdr:col>5</xdr:col>
      <xdr:colOff>669924</xdr:colOff>
      <xdr:row>29</xdr:row>
      <xdr:rowOff>42865</xdr:rowOff>
    </xdr:from>
    <xdr:to>
      <xdr:col>8</xdr:col>
      <xdr:colOff>819150</xdr:colOff>
      <xdr:row>40</xdr:row>
      <xdr:rowOff>44451</xdr:rowOff>
    </xdr:to>
    <xdr:graphicFrame macro="">
      <xdr:nvGraphicFramePr>
        <xdr:cNvPr id="12" name="Chart 11">
          <a:extLst>
            <a:ext uri="{FF2B5EF4-FFF2-40B4-BE49-F238E27FC236}">
              <a16:creationId xmlns:a16="http://schemas.microsoft.com/office/drawing/2014/main" id="{E330E55C-FDBC-4863-B74F-7978E772E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976312</xdr:colOff>
      <xdr:row>3</xdr:row>
      <xdr:rowOff>31751</xdr:rowOff>
    </xdr:from>
    <xdr:to>
      <xdr:col>3</xdr:col>
      <xdr:colOff>539748</xdr:colOff>
      <xdr:row>6</xdr:row>
      <xdr:rowOff>31751</xdr:rowOff>
    </xdr:to>
    <xdr:sp macro="" textlink="">
      <xdr:nvSpPr>
        <xdr:cNvPr id="20" name="Rectangle: Rounded Corners 19">
          <a:extLst>
            <a:ext uri="{FF2B5EF4-FFF2-40B4-BE49-F238E27FC236}">
              <a16:creationId xmlns:a16="http://schemas.microsoft.com/office/drawing/2014/main" id="{1098A7A2-6DFD-73A1-764A-9BF08FC835E8}"/>
            </a:ext>
          </a:extLst>
        </xdr:cNvPr>
        <xdr:cNvSpPr/>
      </xdr:nvSpPr>
      <xdr:spPr>
        <a:xfrm>
          <a:off x="2389187" y="762001"/>
          <a:ext cx="2063749" cy="666750"/>
        </a:xfrm>
        <a:prstGeom prst="roundRect">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1000125</xdr:colOff>
      <xdr:row>3</xdr:row>
      <xdr:rowOff>166688</xdr:rowOff>
    </xdr:from>
    <xdr:to>
      <xdr:col>2</xdr:col>
      <xdr:colOff>269875</xdr:colOff>
      <xdr:row>5</xdr:row>
      <xdr:rowOff>39688</xdr:rowOff>
    </xdr:to>
    <xdr:pic>
      <xdr:nvPicPr>
        <xdr:cNvPr id="22" name="Graphic 21" descr="Money with solid fill">
          <a:extLst>
            <a:ext uri="{FF2B5EF4-FFF2-40B4-BE49-F238E27FC236}">
              <a16:creationId xmlns:a16="http://schemas.microsoft.com/office/drawing/2014/main" id="{CCB6B3BA-398B-16E4-8067-6500F7A4D5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13000" y="896938"/>
          <a:ext cx="357188" cy="357188"/>
        </a:xfrm>
        <a:prstGeom prst="rect">
          <a:avLst/>
        </a:prstGeom>
      </xdr:spPr>
    </xdr:pic>
    <xdr:clientData/>
  </xdr:twoCellAnchor>
  <xdr:twoCellAnchor>
    <xdr:from>
      <xdr:col>2</xdr:col>
      <xdr:colOff>412749</xdr:colOff>
      <xdr:row>3</xdr:row>
      <xdr:rowOff>55561</xdr:rowOff>
    </xdr:from>
    <xdr:to>
      <xdr:col>3</xdr:col>
      <xdr:colOff>468311</xdr:colOff>
      <xdr:row>4</xdr:row>
      <xdr:rowOff>238125</xdr:rowOff>
    </xdr:to>
    <xdr:sp macro="" textlink="">
      <xdr:nvSpPr>
        <xdr:cNvPr id="23" name="TextBox 22">
          <a:extLst>
            <a:ext uri="{FF2B5EF4-FFF2-40B4-BE49-F238E27FC236}">
              <a16:creationId xmlns:a16="http://schemas.microsoft.com/office/drawing/2014/main" id="{6339C762-87A1-8627-8E09-B5492F977112}"/>
            </a:ext>
          </a:extLst>
        </xdr:cNvPr>
        <xdr:cNvSpPr txBox="1"/>
      </xdr:nvSpPr>
      <xdr:spPr>
        <a:xfrm>
          <a:off x="2913062" y="785811"/>
          <a:ext cx="1468437" cy="365127"/>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rgbClr val="4C1D5F"/>
              </a:solidFill>
            </a:rPr>
            <a:t>Total Actual</a:t>
          </a:r>
        </a:p>
      </xdr:txBody>
    </xdr:sp>
    <xdr:clientData/>
  </xdr:twoCellAnchor>
  <xdr:twoCellAnchor>
    <xdr:from>
      <xdr:col>2</xdr:col>
      <xdr:colOff>444499</xdr:colOff>
      <xdr:row>4</xdr:row>
      <xdr:rowOff>150812</xdr:rowOff>
    </xdr:from>
    <xdr:to>
      <xdr:col>3</xdr:col>
      <xdr:colOff>254000</xdr:colOff>
      <xdr:row>5</xdr:row>
      <xdr:rowOff>119061</xdr:rowOff>
    </xdr:to>
    <xdr:sp macro="" textlink="'KPI Helper'!B4">
      <xdr:nvSpPr>
        <xdr:cNvPr id="24" name="TextBox 23">
          <a:extLst>
            <a:ext uri="{FF2B5EF4-FFF2-40B4-BE49-F238E27FC236}">
              <a16:creationId xmlns:a16="http://schemas.microsoft.com/office/drawing/2014/main" id="{E89CDF05-F179-7D8A-FA39-A50725208D83}"/>
            </a:ext>
          </a:extLst>
        </xdr:cNvPr>
        <xdr:cNvSpPr txBox="1"/>
      </xdr:nvSpPr>
      <xdr:spPr>
        <a:xfrm>
          <a:off x="2944812" y="1063625"/>
          <a:ext cx="1222376" cy="269874"/>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E60E441-B01C-4B58-A51F-E1AE89FF493F}" type="TxLink">
            <a:rPr lang="en-US" sz="1400" b="1" i="0" u="none" strike="noStrike">
              <a:solidFill>
                <a:srgbClr val="4C1D5F"/>
              </a:solidFill>
              <a:latin typeface="Aptos Narrow"/>
            </a:rPr>
            <a:t> ₹ 1,41,32,000 </a:t>
          </a:fld>
          <a:endParaRPr lang="en-US" sz="1800" b="1">
            <a:solidFill>
              <a:srgbClr val="4C1D5F"/>
            </a:solidFill>
          </a:endParaRPr>
        </a:p>
      </xdr:txBody>
    </xdr:sp>
    <xdr:clientData/>
  </xdr:twoCellAnchor>
  <xdr:twoCellAnchor>
    <xdr:from>
      <xdr:col>3</xdr:col>
      <xdr:colOff>865187</xdr:colOff>
      <xdr:row>3</xdr:row>
      <xdr:rowOff>15875</xdr:rowOff>
    </xdr:from>
    <xdr:to>
      <xdr:col>5</xdr:col>
      <xdr:colOff>658813</xdr:colOff>
      <xdr:row>6</xdr:row>
      <xdr:rowOff>23813</xdr:rowOff>
    </xdr:to>
    <xdr:sp macro="" textlink="">
      <xdr:nvSpPr>
        <xdr:cNvPr id="25" name="Rectangle: Rounded Corners 24">
          <a:extLst>
            <a:ext uri="{FF2B5EF4-FFF2-40B4-BE49-F238E27FC236}">
              <a16:creationId xmlns:a16="http://schemas.microsoft.com/office/drawing/2014/main" id="{BD7EB374-35C4-9370-3A66-1D2E20BE1D36}"/>
            </a:ext>
          </a:extLst>
        </xdr:cNvPr>
        <xdr:cNvSpPr/>
      </xdr:nvSpPr>
      <xdr:spPr>
        <a:xfrm>
          <a:off x="4778375" y="746125"/>
          <a:ext cx="2293938" cy="674688"/>
        </a:xfrm>
        <a:prstGeom prst="roundRect">
          <a:avLst/>
        </a:prstGeom>
        <a:solidFill>
          <a:srgbClr val="FCE7F3"/>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3</xdr:row>
      <xdr:rowOff>47625</xdr:rowOff>
    </xdr:from>
    <xdr:to>
      <xdr:col>5</xdr:col>
      <xdr:colOff>444500</xdr:colOff>
      <xdr:row>4</xdr:row>
      <xdr:rowOff>214312</xdr:rowOff>
    </xdr:to>
    <xdr:sp macro="" textlink="">
      <xdr:nvSpPr>
        <xdr:cNvPr id="26" name="TextBox 25">
          <a:extLst>
            <a:ext uri="{FF2B5EF4-FFF2-40B4-BE49-F238E27FC236}">
              <a16:creationId xmlns:a16="http://schemas.microsoft.com/office/drawing/2014/main" id="{EFCCDB5E-900C-9CB6-9D6B-D8C9ACDBCE48}"/>
            </a:ext>
          </a:extLst>
        </xdr:cNvPr>
        <xdr:cNvSpPr txBox="1"/>
      </xdr:nvSpPr>
      <xdr:spPr>
        <a:xfrm>
          <a:off x="5389563" y="777875"/>
          <a:ext cx="1468437" cy="349250"/>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rgbClr val="4C1D5F"/>
              </a:solidFill>
            </a:rPr>
            <a:t>Total Variance</a:t>
          </a:r>
        </a:p>
      </xdr:txBody>
    </xdr:sp>
    <xdr:clientData/>
  </xdr:twoCellAnchor>
  <xdr:twoCellAnchor editAs="oneCell">
    <xdr:from>
      <xdr:col>0</xdr:col>
      <xdr:colOff>182563</xdr:colOff>
      <xdr:row>3</xdr:row>
      <xdr:rowOff>63500</xdr:rowOff>
    </xdr:from>
    <xdr:to>
      <xdr:col>0</xdr:col>
      <xdr:colOff>579438</xdr:colOff>
      <xdr:row>4</xdr:row>
      <xdr:rowOff>277812</xdr:rowOff>
    </xdr:to>
    <xdr:pic>
      <xdr:nvPicPr>
        <xdr:cNvPr id="28" name="Graphic 27" descr="Briefcase with solid fill">
          <a:extLst>
            <a:ext uri="{FF2B5EF4-FFF2-40B4-BE49-F238E27FC236}">
              <a16:creationId xmlns:a16="http://schemas.microsoft.com/office/drawing/2014/main" id="{91D0F3DC-4A66-AE8A-EC67-22B4020D1B2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2563" y="793750"/>
          <a:ext cx="396875" cy="396875"/>
        </a:xfrm>
        <a:prstGeom prst="rect">
          <a:avLst/>
        </a:prstGeom>
      </xdr:spPr>
    </xdr:pic>
    <xdr:clientData/>
  </xdr:twoCellAnchor>
  <xdr:twoCellAnchor editAs="oneCell">
    <xdr:from>
      <xdr:col>3</xdr:col>
      <xdr:colOff>958812</xdr:colOff>
      <xdr:row>3</xdr:row>
      <xdr:rowOff>109499</xdr:rowOff>
    </xdr:from>
    <xdr:to>
      <xdr:col>4</xdr:col>
      <xdr:colOff>285751</xdr:colOff>
      <xdr:row>5</xdr:row>
      <xdr:rowOff>47625</xdr:rowOff>
    </xdr:to>
    <xdr:pic>
      <xdr:nvPicPr>
        <xdr:cNvPr id="32" name="Graphic 31" descr="Scales of justice with solid fill">
          <a:extLst>
            <a:ext uri="{FF2B5EF4-FFF2-40B4-BE49-F238E27FC236}">
              <a16:creationId xmlns:a16="http://schemas.microsoft.com/office/drawing/2014/main" id="{9F978597-78BB-9A27-6806-C21EAD588CE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872000" y="839749"/>
          <a:ext cx="422314" cy="422314"/>
        </a:xfrm>
        <a:prstGeom prst="rect">
          <a:avLst/>
        </a:prstGeom>
      </xdr:spPr>
    </xdr:pic>
    <xdr:clientData/>
  </xdr:twoCellAnchor>
  <xdr:oneCellAnchor>
    <xdr:from>
      <xdr:col>4</xdr:col>
      <xdr:colOff>460374</xdr:colOff>
      <xdr:row>4</xdr:row>
      <xdr:rowOff>131326</xdr:rowOff>
    </xdr:from>
    <xdr:ext cx="1143000" cy="342851"/>
    <xdr:sp macro="" textlink="'KPI Helper'!C4">
      <xdr:nvSpPr>
        <xdr:cNvPr id="33" name="TextBox 32">
          <a:extLst>
            <a:ext uri="{FF2B5EF4-FFF2-40B4-BE49-F238E27FC236}">
              <a16:creationId xmlns:a16="http://schemas.microsoft.com/office/drawing/2014/main" id="{F5C8FBE4-5DF0-3F96-4F08-CA08BD395F15}"/>
            </a:ext>
          </a:extLst>
        </xdr:cNvPr>
        <xdr:cNvSpPr txBox="1"/>
      </xdr:nvSpPr>
      <xdr:spPr>
        <a:xfrm>
          <a:off x="5468937" y="1044139"/>
          <a:ext cx="1143000" cy="342851"/>
        </a:xfrm>
        <a:custGeom>
          <a:avLst/>
          <a:gdLst>
            <a:gd name="csX0" fmla="*/ 0 w 1143000"/>
            <a:gd name="csY0" fmla="*/ 0 h 301625"/>
            <a:gd name="csX1" fmla="*/ 1143000 w 1143000"/>
            <a:gd name="csY1" fmla="*/ 166687 h 301625"/>
            <a:gd name="csX2" fmla="*/ 849313 w 1143000"/>
            <a:gd name="csY2" fmla="*/ 238125 h 301625"/>
            <a:gd name="csX3" fmla="*/ 0 w 1143000"/>
            <a:gd name="csY3" fmla="*/ 301625 h 301625"/>
            <a:gd name="csX4" fmla="*/ 0 w 1143000"/>
            <a:gd name="csY4" fmla="*/ 0 h 301625"/>
          </a:gdLst>
          <a:ahLst/>
          <a:cxnLst>
            <a:cxn ang="0">
              <a:pos x="csX0" y="csY0"/>
            </a:cxn>
            <a:cxn ang="0">
              <a:pos x="csX1" y="csY1"/>
            </a:cxn>
            <a:cxn ang="0">
              <a:pos x="csX2" y="csY2"/>
            </a:cxn>
            <a:cxn ang="0">
              <a:pos x="csX3" y="csY3"/>
            </a:cxn>
            <a:cxn ang="0">
              <a:pos x="csX4" y="csY4"/>
            </a:cxn>
          </a:cxnLst>
          <a:rect l="l" t="t" r="r" b="b"/>
          <a:pathLst>
            <a:path w="1143000" h="301625">
              <a:moveTo>
                <a:pt x="0" y="0"/>
              </a:moveTo>
              <a:lnTo>
                <a:pt x="1143000" y="166687"/>
              </a:lnTo>
              <a:lnTo>
                <a:pt x="849313" y="238125"/>
              </a:lnTo>
              <a:lnTo>
                <a:pt x="0" y="301625"/>
              </a:lnTo>
              <a:lnTo>
                <a:pt x="0" y="0"/>
              </a:lnTo>
              <a:close/>
            </a:path>
          </a:pathLst>
        </a:cu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ctr" anchorCtr="1">
          <a:spAutoFit/>
        </a:bodyPr>
        <a:lstStyle/>
        <a:p>
          <a:pPr algn="l"/>
          <a:fld id="{8F9D56AB-8C64-407B-89F9-52E7052DA0C2}" type="TxLink">
            <a:rPr lang="en-US" sz="1600" b="1" i="0" u="none" strike="noStrike">
              <a:solidFill>
                <a:srgbClr val="4C1D5F"/>
              </a:solidFill>
              <a:latin typeface="Aptos Narrow"/>
            </a:rPr>
            <a:t> ₹ 2,44,000 </a:t>
          </a:fld>
          <a:endParaRPr lang="en-IN" sz="2000" b="1">
            <a:solidFill>
              <a:srgbClr val="4C1D5F"/>
            </a:solidFill>
          </a:endParaRPr>
        </a:p>
      </xdr:txBody>
    </xdr:sp>
    <xdr:clientData/>
  </xdr:oneCellAnchor>
  <xdr:twoCellAnchor>
    <xdr:from>
      <xdr:col>0</xdr:col>
      <xdr:colOff>674687</xdr:colOff>
      <xdr:row>3</xdr:row>
      <xdr:rowOff>63501</xdr:rowOff>
    </xdr:from>
    <xdr:to>
      <xdr:col>1</xdr:col>
      <xdr:colOff>635000</xdr:colOff>
      <xdr:row>4</xdr:row>
      <xdr:rowOff>174625</xdr:rowOff>
    </xdr:to>
    <xdr:sp macro="" textlink="">
      <xdr:nvSpPr>
        <xdr:cNvPr id="35" name="TextBox 34">
          <a:extLst>
            <a:ext uri="{FF2B5EF4-FFF2-40B4-BE49-F238E27FC236}">
              <a16:creationId xmlns:a16="http://schemas.microsoft.com/office/drawing/2014/main" id="{07A80181-4CC4-4CB1-A4C4-6ED03F97D9D0}"/>
            </a:ext>
          </a:extLst>
        </xdr:cNvPr>
        <xdr:cNvSpPr txBox="1"/>
      </xdr:nvSpPr>
      <xdr:spPr>
        <a:xfrm>
          <a:off x="674687" y="793751"/>
          <a:ext cx="1373188" cy="293687"/>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rgbClr val="4C1D5F"/>
              </a:solidFill>
            </a:rPr>
            <a:t>Total Budget</a:t>
          </a:r>
        </a:p>
      </xdr:txBody>
    </xdr:sp>
    <xdr:clientData/>
  </xdr:twoCellAnchor>
  <xdr:twoCellAnchor>
    <xdr:from>
      <xdr:col>0</xdr:col>
      <xdr:colOff>658812</xdr:colOff>
      <xdr:row>4</xdr:row>
      <xdr:rowOff>126998</xdr:rowOff>
    </xdr:from>
    <xdr:to>
      <xdr:col>1</xdr:col>
      <xdr:colOff>579437</xdr:colOff>
      <xdr:row>5</xdr:row>
      <xdr:rowOff>103186</xdr:rowOff>
    </xdr:to>
    <xdr:sp macro="" textlink="'KPI Helper'!D4">
      <xdr:nvSpPr>
        <xdr:cNvPr id="36" name="TextBox 35">
          <a:extLst>
            <a:ext uri="{FF2B5EF4-FFF2-40B4-BE49-F238E27FC236}">
              <a16:creationId xmlns:a16="http://schemas.microsoft.com/office/drawing/2014/main" id="{75AFC208-754D-39B6-28C6-A852B1E3505D}"/>
            </a:ext>
          </a:extLst>
        </xdr:cNvPr>
        <xdr:cNvSpPr txBox="1"/>
      </xdr:nvSpPr>
      <xdr:spPr>
        <a:xfrm>
          <a:off x="658812" y="1039811"/>
          <a:ext cx="1333500" cy="277813"/>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D45875F-2863-4EF3-88F1-CA50C6E7025B}" type="TxLink">
            <a:rPr lang="en-US" sz="1400" b="1" i="0" u="none" strike="noStrike">
              <a:solidFill>
                <a:srgbClr val="4C1D5F"/>
              </a:solidFill>
              <a:latin typeface="Aptos Narrow"/>
            </a:rPr>
            <a:t> ₹ 1,38,88,000 </a:t>
          </a:fld>
          <a:endParaRPr lang="en-IN" sz="3200" b="1">
            <a:solidFill>
              <a:srgbClr val="4C1D5F"/>
            </a:solidFill>
          </a:endParaRPr>
        </a:p>
      </xdr:txBody>
    </xdr:sp>
    <xdr:clientData/>
  </xdr:twoCellAnchor>
  <xdr:twoCellAnchor>
    <xdr:from>
      <xdr:col>5</xdr:col>
      <xdr:colOff>920751</xdr:colOff>
      <xdr:row>3</xdr:row>
      <xdr:rowOff>7937</xdr:rowOff>
    </xdr:from>
    <xdr:to>
      <xdr:col>8</xdr:col>
      <xdr:colOff>355601</xdr:colOff>
      <xdr:row>6</xdr:row>
      <xdr:rowOff>23812</xdr:rowOff>
    </xdr:to>
    <xdr:sp macro="" textlink="">
      <xdr:nvSpPr>
        <xdr:cNvPr id="37" name="Rectangle: Rounded Corners 36">
          <a:extLst>
            <a:ext uri="{FF2B5EF4-FFF2-40B4-BE49-F238E27FC236}">
              <a16:creationId xmlns:a16="http://schemas.microsoft.com/office/drawing/2014/main" id="{F8F62021-666C-1DF6-354E-6055B2D0FE2E}"/>
            </a:ext>
          </a:extLst>
        </xdr:cNvPr>
        <xdr:cNvSpPr/>
      </xdr:nvSpPr>
      <xdr:spPr>
        <a:xfrm>
          <a:off x="7334251" y="738187"/>
          <a:ext cx="2546350" cy="682625"/>
        </a:xfrm>
        <a:prstGeom prst="roundRect">
          <a:avLst/>
        </a:prstGeom>
        <a:solidFill>
          <a:srgbClr val="FCE7F3"/>
        </a:solidFill>
        <a:ln>
          <a:solidFill>
            <a:srgbClr val="4C1D5F"/>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984250</xdr:colOff>
      <xdr:row>3</xdr:row>
      <xdr:rowOff>47625</xdr:rowOff>
    </xdr:from>
    <xdr:to>
      <xdr:col>6</xdr:col>
      <xdr:colOff>193700</xdr:colOff>
      <xdr:row>5</xdr:row>
      <xdr:rowOff>52412</xdr:rowOff>
    </xdr:to>
    <xdr:pic>
      <xdr:nvPicPr>
        <xdr:cNvPr id="39" name="Picture 38" descr="Gauge with solid fill">
          <a:extLst>
            <a:ext uri="{FF2B5EF4-FFF2-40B4-BE49-F238E27FC236}">
              <a16:creationId xmlns:a16="http://schemas.microsoft.com/office/drawing/2014/main" id="{276115B3-BAB2-5D0B-44F5-78471500658C}"/>
            </a:ext>
          </a:extLst>
        </xdr:cNvPr>
        <xdr:cNvPicPr>
          <a:picLocks noChangeAspect="1"/>
        </xdr:cNvPicPr>
      </xdr:nvPicPr>
      <xdr:blipFill>
        <a:blip xmlns:r="http://schemas.openxmlformats.org/officeDocument/2006/relationships" r:embed="rId19"/>
        <a:stretch>
          <a:fillRect/>
        </a:stretch>
      </xdr:blipFill>
      <xdr:spPr>
        <a:xfrm>
          <a:off x="7397750" y="777875"/>
          <a:ext cx="488975" cy="488975"/>
        </a:xfrm>
        <a:prstGeom prst="rect">
          <a:avLst/>
        </a:prstGeom>
      </xdr:spPr>
    </xdr:pic>
    <xdr:clientData/>
  </xdr:twoCellAnchor>
  <xdr:twoCellAnchor>
    <xdr:from>
      <xdr:col>6</xdr:col>
      <xdr:colOff>412751</xdr:colOff>
      <xdr:row>3</xdr:row>
      <xdr:rowOff>23812</xdr:rowOff>
    </xdr:from>
    <xdr:to>
      <xdr:col>8</xdr:col>
      <xdr:colOff>254001</xdr:colOff>
      <xdr:row>4</xdr:row>
      <xdr:rowOff>174624</xdr:rowOff>
    </xdr:to>
    <xdr:sp macro="" textlink="">
      <xdr:nvSpPr>
        <xdr:cNvPr id="40" name="TextBox 39">
          <a:extLst>
            <a:ext uri="{FF2B5EF4-FFF2-40B4-BE49-F238E27FC236}">
              <a16:creationId xmlns:a16="http://schemas.microsoft.com/office/drawing/2014/main" id="{D2C8683C-5589-2D76-DE65-00B581A4F7BC}"/>
            </a:ext>
          </a:extLst>
        </xdr:cNvPr>
        <xdr:cNvSpPr txBox="1"/>
      </xdr:nvSpPr>
      <xdr:spPr>
        <a:xfrm>
          <a:off x="7924801" y="754062"/>
          <a:ext cx="1854200" cy="334962"/>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rgbClr val="4C1D5F"/>
              </a:solidFill>
            </a:rPr>
            <a:t>Budget</a:t>
          </a:r>
          <a:r>
            <a:rPr lang="en-IN" sz="1600" b="1">
              <a:solidFill>
                <a:srgbClr val="4C1D5F"/>
              </a:solidFill>
            </a:rPr>
            <a:t> Utilization</a:t>
          </a:r>
        </a:p>
      </xdr:txBody>
    </xdr:sp>
    <xdr:clientData/>
  </xdr:twoCellAnchor>
  <xdr:twoCellAnchor>
    <xdr:from>
      <xdr:col>6</xdr:col>
      <xdr:colOff>515938</xdr:colOff>
      <xdr:row>4</xdr:row>
      <xdr:rowOff>190500</xdr:rowOff>
    </xdr:from>
    <xdr:to>
      <xdr:col>8</xdr:col>
      <xdr:colOff>222250</xdr:colOff>
      <xdr:row>5</xdr:row>
      <xdr:rowOff>127000</xdr:rowOff>
    </xdr:to>
    <xdr:sp macro="" textlink="'KPI Helper'!A4">
      <xdr:nvSpPr>
        <xdr:cNvPr id="41" name="TextBox 40">
          <a:extLst>
            <a:ext uri="{FF2B5EF4-FFF2-40B4-BE49-F238E27FC236}">
              <a16:creationId xmlns:a16="http://schemas.microsoft.com/office/drawing/2014/main" id="{1CB16D91-A9F0-415F-876D-88556EE36915}"/>
            </a:ext>
          </a:extLst>
        </xdr:cNvPr>
        <xdr:cNvSpPr txBox="1"/>
      </xdr:nvSpPr>
      <xdr:spPr>
        <a:xfrm>
          <a:off x="8024813" y="1103313"/>
          <a:ext cx="1722437" cy="238125"/>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F447A2F-425E-4B3A-9B32-F9DC821DFBCB}" type="TxLink">
            <a:rPr lang="en-US" sz="1100" b="1" i="0" u="none" strike="noStrike">
              <a:solidFill>
                <a:srgbClr val="000000"/>
              </a:solidFill>
              <a:latin typeface="Aptos Narrow"/>
            </a:rPr>
            <a:t>117.31%</a:t>
          </a:fld>
          <a:endParaRPr lang="en-IN" sz="1200" b="1">
            <a:solidFill>
              <a:srgbClr val="4C1D5F"/>
            </a:solidFill>
          </a:endParaRPr>
        </a:p>
      </xdr:txBody>
    </xdr:sp>
    <xdr:clientData/>
  </xdr:twoCellAnchor>
  <xdr:twoCellAnchor>
    <xdr:from>
      <xdr:col>1</xdr:col>
      <xdr:colOff>228599</xdr:colOff>
      <xdr:row>0</xdr:row>
      <xdr:rowOff>68261</xdr:rowOff>
    </xdr:from>
    <xdr:to>
      <xdr:col>5</xdr:col>
      <xdr:colOff>939800</xdr:colOff>
      <xdr:row>1</xdr:row>
      <xdr:rowOff>115887</xdr:rowOff>
    </xdr:to>
    <xdr:sp macro="" textlink="">
      <xdr:nvSpPr>
        <xdr:cNvPr id="43" name="TextBox 42">
          <a:extLst>
            <a:ext uri="{FF2B5EF4-FFF2-40B4-BE49-F238E27FC236}">
              <a16:creationId xmlns:a16="http://schemas.microsoft.com/office/drawing/2014/main" id="{ECDBB4B9-0709-97B8-5F3B-725CA5E60548}"/>
            </a:ext>
          </a:extLst>
        </xdr:cNvPr>
        <xdr:cNvSpPr txBox="1"/>
      </xdr:nvSpPr>
      <xdr:spPr>
        <a:xfrm>
          <a:off x="1644649" y="68261"/>
          <a:ext cx="5708651" cy="409576"/>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4C1D5F"/>
              </a:solidFill>
            </a:rPr>
            <a:t>Budget vs Acutal Financial Performance</a:t>
          </a:r>
        </a:p>
      </xdr:txBody>
    </xdr:sp>
    <xdr:clientData/>
  </xdr:twoCellAnchor>
  <xdr:twoCellAnchor>
    <xdr:from>
      <xdr:col>1</xdr:col>
      <xdr:colOff>234950</xdr:colOff>
      <xdr:row>1</xdr:row>
      <xdr:rowOff>95250</xdr:rowOff>
    </xdr:from>
    <xdr:to>
      <xdr:col>5</xdr:col>
      <xdr:colOff>414338</xdr:colOff>
      <xdr:row>2</xdr:row>
      <xdr:rowOff>103187</xdr:rowOff>
    </xdr:to>
    <xdr:sp macro="" textlink="">
      <xdr:nvSpPr>
        <xdr:cNvPr id="44" name="TextBox 43">
          <a:extLst>
            <a:ext uri="{FF2B5EF4-FFF2-40B4-BE49-F238E27FC236}">
              <a16:creationId xmlns:a16="http://schemas.microsoft.com/office/drawing/2014/main" id="{EEF0ECB6-5F1B-67EC-3B8E-B7E3058AE42A}"/>
            </a:ext>
          </a:extLst>
        </xdr:cNvPr>
        <xdr:cNvSpPr txBox="1"/>
      </xdr:nvSpPr>
      <xdr:spPr>
        <a:xfrm>
          <a:off x="1651000" y="457200"/>
          <a:ext cx="5176838" cy="192087"/>
        </a:xfrm>
        <a:prstGeom prst="rect">
          <a:avLst/>
        </a:prstGeom>
        <a:solidFill>
          <a:srgbClr val="FCE7F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4C1D5F"/>
              </a:solidFill>
            </a:rPr>
            <a:t>FY 2026 |</a:t>
          </a:r>
          <a:r>
            <a:rPr lang="en-IN" sz="1100" b="1" baseline="0">
              <a:solidFill>
                <a:srgbClr val="4C1D5F"/>
              </a:solidFill>
            </a:rPr>
            <a:t> Management Overview</a:t>
          </a:r>
          <a:endParaRPr lang="en-IN" sz="1100" b="1">
            <a:solidFill>
              <a:srgbClr val="4C1D5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VIKA" refreshedDate="46299.843876851854" createdVersion="8" refreshedVersion="8" minRefreshableVersion="3" recordCount="84" xr:uid="{03FD3CB2-22B3-4F41-A2C8-2B20E50B036B}">
  <cacheSource type="worksheet">
    <worksheetSource name="Table2"/>
  </cacheSource>
  <cacheFields count="8">
    <cacheField name="Month" numFmtId="0">
      <sharedItems count="12">
        <s v="Jan"/>
        <s v="Feb"/>
        <s v="Mar"/>
        <s v="Apr"/>
        <s v="May"/>
        <s v="Jun"/>
        <s v="Jul"/>
        <s v="Aug"/>
        <s v="Sep"/>
        <s v="Oct"/>
        <s v="Nov"/>
        <s v="Dec"/>
      </sharedItems>
    </cacheField>
    <cacheField name="Department" numFmtId="0">
      <sharedItems count="3">
        <s v="Sales"/>
        <s v="Operations"/>
        <s v="IT"/>
      </sharedItems>
    </cacheField>
    <cacheField name="Category" numFmtId="0">
      <sharedItems count="7">
        <s v="Revenue"/>
        <s v="Marketing"/>
        <s v="Salaries"/>
        <s v="Rent"/>
        <s v="Utilities"/>
        <s v="Software"/>
        <s v="Hardware"/>
      </sharedItems>
    </cacheField>
    <cacheField name="Budget" numFmtId="0">
      <sharedItems containsSemiMixedTypes="0" containsString="0" containsNumber="1" containsInteger="1" minValue="30000" maxValue="800000"/>
    </cacheField>
    <cacheField name="Actual" numFmtId="0">
      <sharedItems containsSemiMixedTypes="0" containsString="0" containsNumber="1" containsInteger="1" minValue="30000" maxValue="835000"/>
    </cacheField>
    <cacheField name="Variance" numFmtId="0">
      <sharedItems containsSemiMixedTypes="0" containsString="0" containsNumber="1" containsInteger="1" minValue="-15000" maxValue="35000"/>
    </cacheField>
    <cacheField name="Variance%" numFmtId="164">
      <sharedItems containsSemiMixedTypes="0" containsString="0" containsNumber="1" minValue="-0.125" maxValue="0.2"/>
    </cacheField>
    <cacheField name="Status" numFmtId="0">
      <sharedItems count="3">
        <s v="over buget"/>
        <s v="under buget"/>
        <s v="on budget"/>
      </sharedItems>
    </cacheField>
  </cacheFields>
  <extLst>
    <ext xmlns:x14="http://schemas.microsoft.com/office/spreadsheetml/2009/9/main" uri="{725AE2AE-9491-48be-B2B4-4EB974FC3084}">
      <x14:pivotCacheDefinition pivotCacheId="1364988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x v="0"/>
    <x v="0"/>
    <n v="500000"/>
    <n v="520000"/>
    <n v="20000"/>
    <n v="0.04"/>
    <x v="0"/>
  </r>
  <r>
    <x v="0"/>
    <x v="0"/>
    <x v="1"/>
    <n v="80000"/>
    <n v="75000"/>
    <n v="-5000"/>
    <n v="-6.25E-2"/>
    <x v="1"/>
  </r>
  <r>
    <x v="0"/>
    <x v="1"/>
    <x v="2"/>
    <n v="180000"/>
    <n v="185000"/>
    <n v="5000"/>
    <n v="2.7777777777777776E-2"/>
    <x v="0"/>
  </r>
  <r>
    <x v="0"/>
    <x v="1"/>
    <x v="3"/>
    <n v="60000"/>
    <n v="60000"/>
    <n v="0"/>
    <n v="0"/>
    <x v="2"/>
  </r>
  <r>
    <x v="0"/>
    <x v="1"/>
    <x v="4"/>
    <n v="30000"/>
    <n v="34000"/>
    <n v="4000"/>
    <n v="0.13333333333333333"/>
    <x v="0"/>
  </r>
  <r>
    <x v="0"/>
    <x v="2"/>
    <x v="5"/>
    <n v="45000"/>
    <n v="48000"/>
    <n v="3000"/>
    <n v="6.6666666666666666E-2"/>
    <x v="0"/>
  </r>
  <r>
    <x v="0"/>
    <x v="2"/>
    <x v="6"/>
    <n v="40000"/>
    <n v="35000"/>
    <n v="-5000"/>
    <n v="-0.125"/>
    <x v="1"/>
  </r>
  <r>
    <x v="1"/>
    <x v="0"/>
    <x v="0"/>
    <n v="520000"/>
    <n v="510000"/>
    <n v="-10000"/>
    <n v="-1.9230769230769232E-2"/>
    <x v="1"/>
  </r>
  <r>
    <x v="1"/>
    <x v="0"/>
    <x v="1"/>
    <n v="85000"/>
    <n v="92000"/>
    <n v="7000"/>
    <n v="8.2352941176470587E-2"/>
    <x v="0"/>
  </r>
  <r>
    <x v="1"/>
    <x v="1"/>
    <x v="2"/>
    <n v="180000"/>
    <n v="190000"/>
    <n v="10000"/>
    <n v="5.5555555555555552E-2"/>
    <x v="0"/>
  </r>
  <r>
    <x v="1"/>
    <x v="1"/>
    <x v="3"/>
    <n v="60000"/>
    <n v="60000"/>
    <n v="0"/>
    <n v="0"/>
    <x v="2"/>
  </r>
  <r>
    <x v="1"/>
    <x v="1"/>
    <x v="4"/>
    <n v="32000"/>
    <n v="30000"/>
    <n v="-2000"/>
    <n v="-6.25E-2"/>
    <x v="1"/>
  </r>
  <r>
    <x v="1"/>
    <x v="2"/>
    <x v="5"/>
    <n v="45000"/>
    <n v="47000"/>
    <n v="2000"/>
    <n v="4.4444444444444446E-2"/>
    <x v="0"/>
  </r>
  <r>
    <x v="1"/>
    <x v="2"/>
    <x v="6"/>
    <n v="35000"/>
    <n v="42000"/>
    <n v="7000"/>
    <n v="0.2"/>
    <x v="0"/>
  </r>
  <r>
    <x v="2"/>
    <x v="0"/>
    <x v="0"/>
    <n v="550000"/>
    <n v="570000"/>
    <n v="20000"/>
    <n v="3.6363636363636362E-2"/>
    <x v="0"/>
  </r>
  <r>
    <x v="2"/>
    <x v="0"/>
    <x v="1"/>
    <n v="90000"/>
    <n v="88000"/>
    <n v="-2000"/>
    <n v="-2.2222222222222223E-2"/>
    <x v="1"/>
  </r>
  <r>
    <x v="2"/>
    <x v="1"/>
    <x v="2"/>
    <n v="185000"/>
    <n v="182000"/>
    <n v="-3000"/>
    <n v="-1.6216216216216217E-2"/>
    <x v="1"/>
  </r>
  <r>
    <x v="2"/>
    <x v="1"/>
    <x v="3"/>
    <n v="60000"/>
    <n v="60000"/>
    <n v="0"/>
    <n v="0"/>
    <x v="2"/>
  </r>
  <r>
    <x v="2"/>
    <x v="1"/>
    <x v="4"/>
    <n v="35000"/>
    <n v="39000"/>
    <n v="4000"/>
    <n v="0.11428571428571428"/>
    <x v="0"/>
  </r>
  <r>
    <x v="2"/>
    <x v="2"/>
    <x v="5"/>
    <n v="48000"/>
    <n v="50000"/>
    <n v="2000"/>
    <n v="4.1666666666666664E-2"/>
    <x v="0"/>
  </r>
  <r>
    <x v="2"/>
    <x v="2"/>
    <x v="6"/>
    <n v="40000"/>
    <n v="38000"/>
    <n v="-2000"/>
    <n v="-0.05"/>
    <x v="1"/>
  </r>
  <r>
    <x v="3"/>
    <x v="0"/>
    <x v="0"/>
    <n v="580000"/>
    <n v="600000"/>
    <n v="20000"/>
    <n v="3.4482758620689655E-2"/>
    <x v="0"/>
  </r>
  <r>
    <x v="3"/>
    <x v="0"/>
    <x v="1"/>
    <n v="95000"/>
    <n v="100000"/>
    <n v="5000"/>
    <n v="5.2631578947368418E-2"/>
    <x v="0"/>
  </r>
  <r>
    <x v="3"/>
    <x v="1"/>
    <x v="2"/>
    <n v="190000"/>
    <n v="195000"/>
    <n v="5000"/>
    <n v="2.6315789473684209E-2"/>
    <x v="0"/>
  </r>
  <r>
    <x v="3"/>
    <x v="1"/>
    <x v="3"/>
    <n v="60000"/>
    <n v="60000"/>
    <n v="0"/>
    <n v="0"/>
    <x v="2"/>
  </r>
  <r>
    <x v="3"/>
    <x v="1"/>
    <x v="4"/>
    <n v="35000"/>
    <n v="33000"/>
    <n v="-2000"/>
    <n v="-5.7142857142857141E-2"/>
    <x v="1"/>
  </r>
  <r>
    <x v="3"/>
    <x v="2"/>
    <x v="5"/>
    <n v="50000"/>
    <n v="52000"/>
    <n v="2000"/>
    <n v="0.04"/>
    <x v="0"/>
  </r>
  <r>
    <x v="3"/>
    <x v="2"/>
    <x v="6"/>
    <n v="45000"/>
    <n v="47000"/>
    <n v="2000"/>
    <n v="4.4444444444444446E-2"/>
    <x v="0"/>
  </r>
  <r>
    <x v="4"/>
    <x v="0"/>
    <x v="0"/>
    <n v="600000"/>
    <n v="625000"/>
    <n v="25000"/>
    <n v="4.1666666666666664E-2"/>
    <x v="0"/>
  </r>
  <r>
    <x v="4"/>
    <x v="0"/>
    <x v="1"/>
    <n v="100000"/>
    <n v="97000"/>
    <n v="-3000"/>
    <n v="-0.03"/>
    <x v="1"/>
  </r>
  <r>
    <x v="4"/>
    <x v="1"/>
    <x v="2"/>
    <n v="195000"/>
    <n v="200000"/>
    <n v="5000"/>
    <n v="2.564102564102564E-2"/>
    <x v="0"/>
  </r>
  <r>
    <x v="4"/>
    <x v="1"/>
    <x v="3"/>
    <n v="60000"/>
    <n v="60000"/>
    <n v="0"/>
    <n v="0"/>
    <x v="2"/>
  </r>
  <r>
    <x v="4"/>
    <x v="1"/>
    <x v="4"/>
    <n v="38000"/>
    <n v="41000"/>
    <n v="3000"/>
    <n v="7.8947368421052627E-2"/>
    <x v="0"/>
  </r>
  <r>
    <x v="4"/>
    <x v="2"/>
    <x v="5"/>
    <n v="52000"/>
    <n v="50000"/>
    <n v="-2000"/>
    <n v="-3.8461538461538464E-2"/>
    <x v="1"/>
  </r>
  <r>
    <x v="4"/>
    <x v="2"/>
    <x v="6"/>
    <n v="45000"/>
    <n v="48000"/>
    <n v="3000"/>
    <n v="6.6666666666666666E-2"/>
    <x v="0"/>
  </r>
  <r>
    <x v="5"/>
    <x v="0"/>
    <x v="0"/>
    <n v="620000"/>
    <n v="605000"/>
    <n v="-15000"/>
    <n v="-2.4193548387096774E-2"/>
    <x v="1"/>
  </r>
  <r>
    <x v="5"/>
    <x v="0"/>
    <x v="1"/>
    <n v="105000"/>
    <n v="110000"/>
    <n v="5000"/>
    <n v="4.7619047619047616E-2"/>
    <x v="0"/>
  </r>
  <r>
    <x v="5"/>
    <x v="1"/>
    <x v="2"/>
    <n v="200000"/>
    <n v="205000"/>
    <n v="5000"/>
    <n v="2.5000000000000001E-2"/>
    <x v="0"/>
  </r>
  <r>
    <x v="5"/>
    <x v="1"/>
    <x v="3"/>
    <n v="60000"/>
    <n v="60000"/>
    <n v="0"/>
    <n v="0"/>
    <x v="2"/>
  </r>
  <r>
    <x v="5"/>
    <x v="1"/>
    <x v="4"/>
    <n v="40000"/>
    <n v="38000"/>
    <n v="-2000"/>
    <n v="-0.05"/>
    <x v="1"/>
  </r>
  <r>
    <x v="5"/>
    <x v="2"/>
    <x v="5"/>
    <n v="55000"/>
    <n v="57000"/>
    <n v="2000"/>
    <n v="3.6363636363636362E-2"/>
    <x v="0"/>
  </r>
  <r>
    <x v="5"/>
    <x v="2"/>
    <x v="6"/>
    <n v="50000"/>
    <n v="46000"/>
    <n v="-4000"/>
    <n v="-0.08"/>
    <x v="1"/>
  </r>
  <r>
    <x v="6"/>
    <x v="0"/>
    <x v="0"/>
    <n v="650000"/>
    <n v="675000"/>
    <n v="25000"/>
    <n v="3.8461538461538464E-2"/>
    <x v="0"/>
  </r>
  <r>
    <x v="6"/>
    <x v="0"/>
    <x v="1"/>
    <n v="110000"/>
    <n v="105000"/>
    <n v="-5000"/>
    <n v="-4.5454545454545456E-2"/>
    <x v="1"/>
  </r>
  <r>
    <x v="6"/>
    <x v="1"/>
    <x v="2"/>
    <n v="205000"/>
    <n v="210000"/>
    <n v="5000"/>
    <n v="2.4390243902439025E-2"/>
    <x v="0"/>
  </r>
  <r>
    <x v="6"/>
    <x v="1"/>
    <x v="3"/>
    <n v="60000"/>
    <n v="60000"/>
    <n v="0"/>
    <n v="0"/>
    <x v="2"/>
  </r>
  <r>
    <x v="6"/>
    <x v="1"/>
    <x v="4"/>
    <n v="42000"/>
    <n v="45000"/>
    <n v="3000"/>
    <n v="7.1428571428571425E-2"/>
    <x v="0"/>
  </r>
  <r>
    <x v="6"/>
    <x v="2"/>
    <x v="5"/>
    <n v="58000"/>
    <n v="60000"/>
    <n v="2000"/>
    <n v="3.4482758620689655E-2"/>
    <x v="0"/>
  </r>
  <r>
    <x v="6"/>
    <x v="2"/>
    <x v="6"/>
    <n v="52000"/>
    <n v="50000"/>
    <n v="-2000"/>
    <n v="-3.8461538461538464E-2"/>
    <x v="1"/>
  </r>
  <r>
    <x v="7"/>
    <x v="0"/>
    <x v="0"/>
    <n v="680000"/>
    <n v="665000"/>
    <n v="-15000"/>
    <n v="-2.2058823529411766E-2"/>
    <x v="1"/>
  </r>
  <r>
    <x v="7"/>
    <x v="0"/>
    <x v="1"/>
    <n v="115000"/>
    <n v="120000"/>
    <n v="5000"/>
    <n v="4.3478260869565216E-2"/>
    <x v="0"/>
  </r>
  <r>
    <x v="7"/>
    <x v="1"/>
    <x v="2"/>
    <n v="210000"/>
    <n v="215000"/>
    <n v="5000"/>
    <n v="2.3809523809523808E-2"/>
    <x v="0"/>
  </r>
  <r>
    <x v="7"/>
    <x v="1"/>
    <x v="3"/>
    <n v="60000"/>
    <n v="60000"/>
    <n v="0"/>
    <n v="0"/>
    <x v="2"/>
  </r>
  <r>
    <x v="7"/>
    <x v="1"/>
    <x v="4"/>
    <n v="43000"/>
    <n v="41000"/>
    <n v="-2000"/>
    <n v="-4.6511627906976744E-2"/>
    <x v="1"/>
  </r>
  <r>
    <x v="7"/>
    <x v="2"/>
    <x v="5"/>
    <n v="60000"/>
    <n v="62000"/>
    <n v="2000"/>
    <n v="3.3333333333333333E-2"/>
    <x v="0"/>
  </r>
  <r>
    <x v="7"/>
    <x v="2"/>
    <x v="6"/>
    <n v="55000"/>
    <n v="58000"/>
    <n v="3000"/>
    <n v="5.4545454545454543E-2"/>
    <x v="0"/>
  </r>
  <r>
    <x v="8"/>
    <x v="0"/>
    <x v="0"/>
    <n v="700000"/>
    <n v="720000"/>
    <n v="20000"/>
    <n v="2.8571428571428571E-2"/>
    <x v="0"/>
  </r>
  <r>
    <x v="8"/>
    <x v="0"/>
    <x v="1"/>
    <n v="120000"/>
    <n v="118000"/>
    <n v="-2000"/>
    <n v="-1.6666666666666666E-2"/>
    <x v="1"/>
  </r>
  <r>
    <x v="8"/>
    <x v="1"/>
    <x v="2"/>
    <n v="215000"/>
    <n v="220000"/>
    <n v="5000"/>
    <n v="2.3255813953488372E-2"/>
    <x v="0"/>
  </r>
  <r>
    <x v="8"/>
    <x v="1"/>
    <x v="3"/>
    <n v="60000"/>
    <n v="60000"/>
    <n v="0"/>
    <n v="0"/>
    <x v="2"/>
  </r>
  <r>
    <x v="8"/>
    <x v="1"/>
    <x v="4"/>
    <n v="45000"/>
    <n v="47000"/>
    <n v="2000"/>
    <n v="4.4444444444444446E-2"/>
    <x v="0"/>
  </r>
  <r>
    <x v="8"/>
    <x v="2"/>
    <x v="5"/>
    <n v="62000"/>
    <n v="60000"/>
    <n v="-2000"/>
    <n v="-3.2258064516129031E-2"/>
    <x v="1"/>
  </r>
  <r>
    <x v="8"/>
    <x v="2"/>
    <x v="6"/>
    <n v="58000"/>
    <n v="55000"/>
    <n v="-3000"/>
    <n v="-5.1724137931034482E-2"/>
    <x v="1"/>
  </r>
  <r>
    <x v="9"/>
    <x v="0"/>
    <x v="0"/>
    <n v="720000"/>
    <n v="735000"/>
    <n v="15000"/>
    <n v="2.0833333333333332E-2"/>
    <x v="0"/>
  </r>
  <r>
    <x v="9"/>
    <x v="0"/>
    <x v="1"/>
    <n v="125000"/>
    <n v="130000"/>
    <n v="5000"/>
    <n v="0.04"/>
    <x v="0"/>
  </r>
  <r>
    <x v="9"/>
    <x v="1"/>
    <x v="2"/>
    <n v="220000"/>
    <n v="225000"/>
    <n v="5000"/>
    <n v="2.2727272727272728E-2"/>
    <x v="0"/>
  </r>
  <r>
    <x v="9"/>
    <x v="1"/>
    <x v="3"/>
    <n v="60000"/>
    <n v="60000"/>
    <n v="0"/>
    <n v="0"/>
    <x v="2"/>
  </r>
  <r>
    <x v="9"/>
    <x v="1"/>
    <x v="4"/>
    <n v="45000"/>
    <n v="44000"/>
    <n v="-1000"/>
    <n v="-2.2222222222222223E-2"/>
    <x v="1"/>
  </r>
  <r>
    <x v="9"/>
    <x v="2"/>
    <x v="5"/>
    <n v="65000"/>
    <n v="68000"/>
    <n v="3000"/>
    <n v="4.6153846153846156E-2"/>
    <x v="0"/>
  </r>
  <r>
    <x v="9"/>
    <x v="2"/>
    <x v="6"/>
    <n v="60000"/>
    <n v="62000"/>
    <n v="2000"/>
    <n v="3.3333333333333333E-2"/>
    <x v="0"/>
  </r>
  <r>
    <x v="10"/>
    <x v="0"/>
    <x v="0"/>
    <n v="750000"/>
    <n v="770000"/>
    <n v="20000"/>
    <n v="2.6666666666666668E-2"/>
    <x v="0"/>
  </r>
  <r>
    <x v="10"/>
    <x v="0"/>
    <x v="1"/>
    <n v="130000"/>
    <n v="125000"/>
    <n v="-5000"/>
    <n v="-3.8461538461538464E-2"/>
    <x v="1"/>
  </r>
  <r>
    <x v="10"/>
    <x v="1"/>
    <x v="2"/>
    <n v="225000"/>
    <n v="230000"/>
    <n v="5000"/>
    <n v="2.2222222222222223E-2"/>
    <x v="0"/>
  </r>
  <r>
    <x v="10"/>
    <x v="1"/>
    <x v="3"/>
    <n v="60000"/>
    <n v="60000"/>
    <n v="0"/>
    <n v="0"/>
    <x v="2"/>
  </r>
  <r>
    <x v="10"/>
    <x v="1"/>
    <x v="4"/>
    <n v="48000"/>
    <n v="51000"/>
    <n v="3000"/>
    <n v="6.25E-2"/>
    <x v="0"/>
  </r>
  <r>
    <x v="10"/>
    <x v="2"/>
    <x v="5"/>
    <n v="68000"/>
    <n v="70000"/>
    <n v="2000"/>
    <n v="2.9411764705882353E-2"/>
    <x v="0"/>
  </r>
  <r>
    <x v="10"/>
    <x v="2"/>
    <x v="6"/>
    <n v="62000"/>
    <n v="59000"/>
    <n v="-3000"/>
    <n v="-4.8387096774193547E-2"/>
    <x v="1"/>
  </r>
  <r>
    <x v="11"/>
    <x v="0"/>
    <x v="0"/>
    <n v="800000"/>
    <n v="835000"/>
    <n v="35000"/>
    <n v="4.3749999999999997E-2"/>
    <x v="0"/>
  </r>
  <r>
    <x v="11"/>
    <x v="0"/>
    <x v="1"/>
    <n v="140000"/>
    <n v="135000"/>
    <n v="-5000"/>
    <n v="-3.5714285714285712E-2"/>
    <x v="1"/>
  </r>
  <r>
    <x v="11"/>
    <x v="1"/>
    <x v="2"/>
    <n v="230000"/>
    <n v="235000"/>
    <n v="5000"/>
    <n v="2.1739130434782608E-2"/>
    <x v="0"/>
  </r>
  <r>
    <x v="11"/>
    <x v="1"/>
    <x v="3"/>
    <n v="60000"/>
    <n v="60000"/>
    <n v="0"/>
    <n v="0"/>
    <x v="2"/>
  </r>
  <r>
    <x v="11"/>
    <x v="1"/>
    <x v="4"/>
    <n v="50000"/>
    <n v="53000"/>
    <n v="3000"/>
    <n v="0.06"/>
    <x v="0"/>
  </r>
  <r>
    <x v="11"/>
    <x v="2"/>
    <x v="5"/>
    <n v="70000"/>
    <n v="73000"/>
    <n v="3000"/>
    <n v="4.2857142857142858E-2"/>
    <x v="0"/>
  </r>
  <r>
    <x v="11"/>
    <x v="2"/>
    <x v="6"/>
    <n v="65000"/>
    <n v="62000"/>
    <n v="-3000"/>
    <n v="-4.6153846153846156E-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C4771-B3F7-4959-810F-FE3B4D9636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8">
    <pivotField axis="axisRow" showAll="0">
      <items count="13">
        <item x="0"/>
        <item x="1"/>
        <item x="2"/>
        <item x="3"/>
        <item x="4"/>
        <item x="5"/>
        <item x="6"/>
        <item x="7"/>
        <item x="8"/>
        <item x="9"/>
        <item x="10"/>
        <item x="11"/>
        <item t="default"/>
      </items>
    </pivotField>
    <pivotField showAll="0">
      <items count="4">
        <item x="2"/>
        <item x="1"/>
        <item x="0"/>
        <item t="default"/>
      </items>
    </pivotField>
    <pivotField showAll="0">
      <items count="8">
        <item x="6"/>
        <item x="1"/>
        <item x="3"/>
        <item x="0"/>
        <item x="2"/>
        <item x="5"/>
        <item x="4"/>
        <item t="default"/>
      </items>
    </pivotField>
    <pivotField dataField="1" showAll="0"/>
    <pivotField dataField="1" showAll="0"/>
    <pivotField showAll="0"/>
    <pivotField numFmtId="164"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3" baseField="0" baseItem="0"/>
    <dataField name="Sum of Actual"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BC8C56-9EBE-4979-BF8B-76A559CA7E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8">
    <pivotField showAll="0">
      <items count="13">
        <item x="0"/>
        <item x="1"/>
        <item x="2"/>
        <item x="3"/>
        <item x="4"/>
        <item x="5"/>
        <item x="6"/>
        <item x="7"/>
        <item x="8"/>
        <item x="9"/>
        <item x="10"/>
        <item x="11"/>
        <item t="default"/>
      </items>
    </pivotField>
    <pivotField axis="axisRow" showAll="0">
      <items count="4">
        <item x="2"/>
        <item x="1"/>
        <item x="0"/>
        <item t="default"/>
      </items>
    </pivotField>
    <pivotField showAll="0">
      <items count="8">
        <item x="6"/>
        <item x="1"/>
        <item x="3"/>
        <item x="0"/>
        <item x="2"/>
        <item x="5"/>
        <item x="4"/>
        <item t="default"/>
      </items>
    </pivotField>
    <pivotField dataField="1" showAll="0"/>
    <pivotField dataField="1" showAll="0"/>
    <pivotField showAll="0"/>
    <pivotField numFmtId="164" showAll="0"/>
    <pivotField showAll="0"/>
  </pivotFields>
  <rowFields count="1">
    <field x="1"/>
  </rowFields>
  <rowItems count="4">
    <i>
      <x/>
    </i>
    <i>
      <x v="1"/>
    </i>
    <i>
      <x v="2"/>
    </i>
    <i t="grand">
      <x/>
    </i>
  </rowItems>
  <colFields count="1">
    <field x="-2"/>
  </colFields>
  <colItems count="2">
    <i>
      <x/>
    </i>
    <i i="1">
      <x v="1"/>
    </i>
  </colItems>
  <dataFields count="2">
    <dataField name="Sum of Budget" fld="3" baseField="0" baseItem="0"/>
    <dataField name="Sum of Actual"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A21405-A8A2-4A75-BDE4-00086EACD3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1" firstHeaderRow="0" firstDataRow="1" firstDataCol="1"/>
  <pivotFields count="8">
    <pivotField showAll="0">
      <items count="13">
        <item x="0"/>
        <item x="1"/>
        <item x="2"/>
        <item x="3"/>
        <item x="4"/>
        <item x="5"/>
        <item x="6"/>
        <item x="7"/>
        <item x="8"/>
        <item x="9"/>
        <item x="10"/>
        <item x="11"/>
        <item t="default"/>
      </items>
    </pivotField>
    <pivotField showAll="0">
      <items count="4">
        <item x="2"/>
        <item x="1"/>
        <item x="0"/>
        <item t="default"/>
      </items>
    </pivotField>
    <pivotField axis="axisRow" showAll="0">
      <items count="8">
        <item x="6"/>
        <item x="1"/>
        <item x="3"/>
        <item x="0"/>
        <item x="2"/>
        <item x="5"/>
        <item x="4"/>
        <item t="default"/>
      </items>
    </pivotField>
    <pivotField dataField="1" showAll="0"/>
    <pivotField dataField="1" showAll="0"/>
    <pivotField showAll="0"/>
    <pivotField numFmtId="164"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Budget" fld="3" baseField="0" baseItem="0"/>
    <dataField name="Sum of Actual"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D1A70-8AD0-4EAC-9079-1E99A4A425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8">
    <pivotField axis="axisRow" showAll="0">
      <items count="13">
        <item x="0"/>
        <item x="1"/>
        <item x="2"/>
        <item x="3"/>
        <item x="4"/>
        <item x="5"/>
        <item x="6"/>
        <item x="7"/>
        <item x="8"/>
        <item x="9"/>
        <item x="10"/>
        <item x="11"/>
        <item t="default"/>
      </items>
    </pivotField>
    <pivotField showAll="0">
      <items count="4">
        <item x="2"/>
        <item x="1"/>
        <item x="0"/>
        <item t="default"/>
      </items>
    </pivotField>
    <pivotField showAll="0">
      <items count="8">
        <item x="6"/>
        <item x="1"/>
        <item x="3"/>
        <item x="0"/>
        <item x="2"/>
        <item x="5"/>
        <item x="4"/>
        <item t="default"/>
      </items>
    </pivotField>
    <pivotField dataField="1" showAll="0"/>
    <pivotField dataField="1" showAll="0"/>
    <pivotField showAll="0"/>
    <pivotField numFmtId="164"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3" baseField="0" baseItem="0"/>
    <dataField name="Sum of Actual" fld="4" baseField="0"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59E084-792D-41DD-8302-AA7C33BD93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8">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8">
        <item x="6"/>
        <item x="1"/>
        <item x="3"/>
        <item x="0"/>
        <item x="2"/>
        <item x="5"/>
        <item x="4"/>
        <item t="default"/>
      </items>
    </pivotField>
    <pivotField showAll="0"/>
    <pivotField showAll="0"/>
    <pivotField showAll="0"/>
    <pivotField numFmtId="164" showAll="0"/>
    <pivotField axis="axisRow" dataField="1" showAll="0">
      <items count="4">
        <item x="0"/>
        <item x="1"/>
        <item x="2"/>
        <item t="default"/>
      </items>
    </pivotField>
  </pivotFields>
  <rowFields count="1">
    <field x="7"/>
  </rowFields>
  <rowItems count="4">
    <i>
      <x/>
    </i>
    <i>
      <x v="1"/>
    </i>
    <i>
      <x v="2"/>
    </i>
    <i t="grand">
      <x/>
    </i>
  </rowItems>
  <colItems count="1">
    <i/>
  </colItems>
  <dataFields count="1">
    <dataField name="Count of Status" fld="7"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F11C34-1CE9-4D00-BC85-201052AEF8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8">
    <pivotField axis="axisRow" showAll="0">
      <items count="13">
        <item x="0"/>
        <item x="1"/>
        <item x="2"/>
        <item x="3"/>
        <item x="4"/>
        <item x="5"/>
        <item x="6"/>
        <item x="7"/>
        <item x="8"/>
        <item x="9"/>
        <item x="10"/>
        <item x="11"/>
        <item t="default"/>
      </items>
    </pivotField>
    <pivotField showAll="0">
      <items count="4">
        <item x="2"/>
        <item x="1"/>
        <item x="0"/>
        <item t="default"/>
      </items>
    </pivotField>
    <pivotField showAll="0">
      <items count="8">
        <item x="6"/>
        <item x="1"/>
        <item x="3"/>
        <item x="0"/>
        <item x="2"/>
        <item x="5"/>
        <item x="4"/>
        <item t="default"/>
      </items>
    </pivotField>
    <pivotField showAll="0"/>
    <pivotField showAll="0"/>
    <pivotField dataField="1" showAll="0"/>
    <pivotField numFmtId="164"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Varianc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03B331-0AC9-4E38-B335-A073474B00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8">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8">
        <item x="6"/>
        <item x="1"/>
        <item x="3"/>
        <item x="0"/>
        <item x="2"/>
        <item x="5"/>
        <item x="4"/>
        <item t="default"/>
      </items>
    </pivotField>
    <pivotField dataField="1" showAll="0"/>
    <pivotField dataField="1" showAll="0"/>
    <pivotField dataField="1" showAll="0"/>
    <pivotField dataField="1" numFmtId="164" showAll="0"/>
    <pivotField showAll="0"/>
  </pivotFields>
  <rowItems count="1">
    <i/>
  </rowItems>
  <colFields count="1">
    <field x="-2"/>
  </colFields>
  <colItems count="4">
    <i>
      <x/>
    </i>
    <i i="1">
      <x v="1"/>
    </i>
    <i i="2">
      <x v="2"/>
    </i>
    <i i="3">
      <x v="3"/>
    </i>
  </colItems>
  <dataFields count="4">
    <dataField name="Sum of Variance%" fld="6" baseField="0" baseItem="0" numFmtId="10"/>
    <dataField name="Sum of Actual" fld="4" baseField="0" baseItem="0" numFmtId="42"/>
    <dataField name="Sum of Variance" fld="5" baseField="0" baseItem="0" numFmtId="42"/>
    <dataField name="Sum of Budget" fld="3" baseField="0" baseItem="0" numFmtId="42"/>
  </dataFields>
  <formats count="8">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BFEB60-4CA7-4F31-B61A-9B128615386C}" sourceName="Department">
  <pivotTables>
    <pivotTable tabId="5" name="PivotTable1"/>
    <pivotTable tabId="8" name="PivotTable4"/>
    <pivotTable tabId="4" name="PivotTable2"/>
    <pivotTable tabId="6" name="PivotTable2"/>
    <pivotTable tabId="7" name="PivotTable3"/>
    <pivotTable tabId="9" name="PivotTable1"/>
    <pivotTable tabId="13" name="PivotTable3"/>
  </pivotTables>
  <data>
    <tabular pivotCacheId="136498833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7191E4-26DC-4DA6-98E3-29C14F726746}" sourceName="Category">
  <pivotTables>
    <pivotTable tabId="7" name="PivotTable3"/>
    <pivotTable tabId="8" name="PivotTable4"/>
    <pivotTable tabId="4" name="PivotTable2"/>
    <pivotTable tabId="6" name="PivotTable2"/>
    <pivotTable tabId="5" name="PivotTable1"/>
    <pivotTable tabId="9" name="PivotTable1"/>
    <pivotTable tabId="13" name="PivotTable3"/>
  </pivotTables>
  <data>
    <tabular pivotCacheId="1364988335">
      <items count="7">
        <i x="6" s="1"/>
        <i x="1" s="1"/>
        <i x="3" s="1"/>
        <i x="0"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DC311E4-357D-4FC8-BBF1-6D4F9EFDEEB1}" sourceName="Month">
  <pivotTables>
    <pivotTable tabId="7" name="PivotTable3"/>
    <pivotTable tabId="8" name="PivotTable4"/>
    <pivotTable tabId="4" name="PivotTable2"/>
    <pivotTable tabId="6" name="PivotTable2"/>
    <pivotTable tabId="5" name="PivotTable1"/>
    <pivotTable tabId="9" name="PivotTable1"/>
    <pivotTable tabId="13" name="PivotTable3"/>
  </pivotTables>
  <data>
    <tabular pivotCacheId="136498833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3F6EFFC-B0A9-4B10-B4C0-2D34FEDA98AD}" cache="Slicer_Department" caption="Departm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EED1A41-AFB5-49BC-A143-954283500786}" cache="Slicer_Department" caption="Department" columnCount="2" style="Pink Violet Dashboard" rowHeight="251883"/>
  <slicer name="Category" xr10:uid="{D948110C-2EAC-4734-95ED-B4B3DE2B9148}" cache="Slicer_Category" caption="Category" columnCount="3" style="Pink Violet Dashboard" rowHeight="288000"/>
  <slicer name="Month" xr10:uid="{AF010600-26A4-4901-8D74-66FFD8B03C28}" cache="Slicer_Month" caption="Month" columnCount="4" style="Pink Violet Dashboard"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602542-11DD-4041-AA0D-C01DADC3762D}" name="Table2" displayName="Table2" ref="A1:I85" totalsRowShown="0" headerRowDxfId="29" dataDxfId="28">
  <autoFilter ref="A1:I85" xr:uid="{7E602542-11DD-4041-AA0D-C01DADC3762D}"/>
  <tableColumns count="9">
    <tableColumn id="1" xr3:uid="{13F4559C-3E4E-4B0D-AAB9-06763B22A5D4}" name="Month" dataDxfId="27"/>
    <tableColumn id="2" xr3:uid="{17ED7B97-E84D-4173-8205-34034468B5A6}" name="Department" dataDxfId="26"/>
    <tableColumn id="3" xr3:uid="{1CE6937E-77E0-48F2-BD6C-9D317CAB2541}" name="Category" dataDxfId="25"/>
    <tableColumn id="4" xr3:uid="{98086099-C07A-466A-B2AB-6B5E37F5E87A}" name="Budget" dataDxfId="24"/>
    <tableColumn id="5" xr3:uid="{40FA22A7-292E-47F9-B72F-0CC068DCA301}" name="Actual" dataDxfId="23"/>
    <tableColumn id="6" xr3:uid="{8B3D9F5A-33CF-44FF-853B-B038DE3E25F0}" name="Variance" dataDxfId="22">
      <calculatedColumnFormula>E2-D2</calculatedColumnFormula>
    </tableColumn>
    <tableColumn id="7" xr3:uid="{2B29C795-57B0-4D92-970F-22803ABCFA48}" name="Variance%" dataDxfId="21">
      <calculatedColumnFormula>(E2-D2)/D2</calculatedColumnFormula>
    </tableColumn>
    <tableColumn id="8" xr3:uid="{F96BA917-F639-4890-B9AA-6EA97142DD7F}" name="Status" dataDxfId="20">
      <calculatedColumnFormula>IF(E2&gt;D2,"over budget",IF(E2&lt;D2,"under budget","on budget"))</calculatedColumnFormula>
    </tableColumn>
    <tableColumn id="9" xr3:uid="{8D57426F-AE6F-4BFD-AE3D-BF3983B9F509}" name="Type" dataDxfId="19">
      <calculatedColumnFormula>IF(C2="Revenue","Revenue","Expense")</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solidFill>
          <a:schemeClr val="accent5">
            <a:lumMod val="50000"/>
          </a:schemeClr>
        </a:solidFill>
        <a:ln w="9525" cmpd="sng">
          <a:solidFill>
            <a:schemeClr val="lt1">
              <a:shade val="50000"/>
            </a:schemeClr>
          </a:solidFill>
        </a:ln>
      </a:spPr>
      <a:bodyPr vertOverflow="clip" horzOverflow="clip" wrap="square" rtlCol="0" anchor="t"/>
      <a:lstStyle>
        <a:defPPr algn="l">
          <a:defRPr sz="2400" b="1">
            <a:solidFill>
              <a:schemeClr val="bg1"/>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8916-E322-44A1-9E33-303E0B1829ED}">
  <dimension ref="A3:C16"/>
  <sheetViews>
    <sheetView workbookViewId="0">
      <selection activeCell="B4" sqref="B4"/>
    </sheetView>
  </sheetViews>
  <sheetFormatPr defaultRowHeight="14.5" x14ac:dyDescent="0.35"/>
  <cols>
    <col min="1" max="1" width="12.453125" bestFit="1" customWidth="1"/>
    <col min="2" max="2" width="12.90625" bestFit="1" customWidth="1"/>
    <col min="3" max="3" width="12.36328125" bestFit="1" customWidth="1"/>
  </cols>
  <sheetData>
    <row r="3" spans="1:3" x14ac:dyDescent="0.35">
      <c r="A3" s="2" t="s">
        <v>30</v>
      </c>
      <c r="B3" t="s">
        <v>32</v>
      </c>
      <c r="C3" t="s">
        <v>33</v>
      </c>
    </row>
    <row r="4" spans="1:3" x14ac:dyDescent="0.35">
      <c r="A4" s="3" t="s">
        <v>5</v>
      </c>
      <c r="B4" s="29">
        <v>935000</v>
      </c>
      <c r="C4" s="29">
        <v>957000</v>
      </c>
    </row>
    <row r="5" spans="1:3" x14ac:dyDescent="0.35">
      <c r="A5" s="3" t="s">
        <v>16</v>
      </c>
      <c r="B5" s="29">
        <v>957000</v>
      </c>
      <c r="C5" s="29">
        <v>971000</v>
      </c>
    </row>
    <row r="6" spans="1:3" x14ac:dyDescent="0.35">
      <c r="A6" s="3" t="s">
        <v>17</v>
      </c>
      <c r="B6" s="29">
        <v>1008000</v>
      </c>
      <c r="C6" s="29">
        <v>1027000</v>
      </c>
    </row>
    <row r="7" spans="1:3" x14ac:dyDescent="0.35">
      <c r="A7" s="3" t="s">
        <v>18</v>
      </c>
      <c r="B7" s="29">
        <v>1055000</v>
      </c>
      <c r="C7" s="29">
        <v>1087000</v>
      </c>
    </row>
    <row r="8" spans="1:3" x14ac:dyDescent="0.35">
      <c r="A8" s="3" t="s">
        <v>19</v>
      </c>
      <c r="B8" s="29">
        <v>1090000</v>
      </c>
      <c r="C8" s="29">
        <v>1121000</v>
      </c>
    </row>
    <row r="9" spans="1:3" x14ac:dyDescent="0.35">
      <c r="A9" s="3" t="s">
        <v>20</v>
      </c>
      <c r="B9" s="29">
        <v>1130000</v>
      </c>
      <c r="C9" s="29">
        <v>1121000</v>
      </c>
    </row>
    <row r="10" spans="1:3" x14ac:dyDescent="0.35">
      <c r="A10" s="3" t="s">
        <v>21</v>
      </c>
      <c r="B10" s="29">
        <v>1177000</v>
      </c>
      <c r="C10" s="29">
        <v>1205000</v>
      </c>
    </row>
    <row r="11" spans="1:3" x14ac:dyDescent="0.35">
      <c r="A11" s="3" t="s">
        <v>22</v>
      </c>
      <c r="B11" s="29">
        <v>1223000</v>
      </c>
      <c r="C11" s="29">
        <v>1221000</v>
      </c>
    </row>
    <row r="12" spans="1:3" x14ac:dyDescent="0.35">
      <c r="A12" s="3" t="s">
        <v>23</v>
      </c>
      <c r="B12" s="29">
        <v>1260000</v>
      </c>
      <c r="C12" s="29">
        <v>1280000</v>
      </c>
    </row>
    <row r="13" spans="1:3" x14ac:dyDescent="0.35">
      <c r="A13" s="3" t="s">
        <v>24</v>
      </c>
      <c r="B13" s="29">
        <v>1295000</v>
      </c>
      <c r="C13" s="29">
        <v>1324000</v>
      </c>
    </row>
    <row r="14" spans="1:3" x14ac:dyDescent="0.35">
      <c r="A14" s="3" t="s">
        <v>25</v>
      </c>
      <c r="B14" s="29">
        <v>1343000</v>
      </c>
      <c r="C14" s="29">
        <v>1365000</v>
      </c>
    </row>
    <row r="15" spans="1:3" x14ac:dyDescent="0.35">
      <c r="A15" s="3" t="s">
        <v>26</v>
      </c>
      <c r="B15" s="29">
        <v>1415000</v>
      </c>
      <c r="C15" s="29">
        <v>1453000</v>
      </c>
    </row>
    <row r="16" spans="1:3" x14ac:dyDescent="0.35">
      <c r="A16" s="3" t="s">
        <v>31</v>
      </c>
      <c r="B16" s="29">
        <v>13888000</v>
      </c>
      <c r="C16" s="29">
        <v>14132000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71185-5E8B-421D-8B6F-C2DC6808DA34}">
  <dimension ref="A3:C7"/>
  <sheetViews>
    <sheetView topLeftCell="A4" workbookViewId="0">
      <selection activeCell="C5" sqref="C5"/>
    </sheetView>
  </sheetViews>
  <sheetFormatPr defaultRowHeight="14.5" x14ac:dyDescent="0.35"/>
  <cols>
    <col min="1" max="1" width="12.453125" bestFit="1" customWidth="1"/>
    <col min="2" max="2" width="12.90625" bestFit="1" customWidth="1"/>
    <col min="3" max="3" width="12.36328125" bestFit="1" customWidth="1"/>
  </cols>
  <sheetData>
    <row r="3" spans="1:3" x14ac:dyDescent="0.35">
      <c r="A3" s="2" t="s">
        <v>30</v>
      </c>
      <c r="B3" t="s">
        <v>32</v>
      </c>
      <c r="C3" t="s">
        <v>33</v>
      </c>
    </row>
    <row r="4" spans="1:3" x14ac:dyDescent="0.35">
      <c r="A4" s="3" t="s">
        <v>13</v>
      </c>
      <c r="B4" s="29">
        <v>1285000</v>
      </c>
      <c r="C4" s="29">
        <v>1299000</v>
      </c>
    </row>
    <row r="5" spans="1:3" x14ac:dyDescent="0.35">
      <c r="A5" s="3" t="s">
        <v>9</v>
      </c>
      <c r="B5" s="29">
        <v>3638000</v>
      </c>
      <c r="C5" s="29">
        <v>3708000</v>
      </c>
    </row>
    <row r="6" spans="1:3" x14ac:dyDescent="0.35">
      <c r="A6" s="3" t="s">
        <v>6</v>
      </c>
      <c r="B6" s="29">
        <v>8965000</v>
      </c>
      <c r="C6" s="29">
        <v>9125000</v>
      </c>
    </row>
    <row r="7" spans="1:3" x14ac:dyDescent="0.35">
      <c r="A7" s="3" t="s">
        <v>31</v>
      </c>
      <c r="B7" s="29">
        <v>13888000</v>
      </c>
      <c r="C7" s="29">
        <v>14132000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6076-285A-4419-AF72-D36742FFF8AB}">
  <dimension ref="A3:C11"/>
  <sheetViews>
    <sheetView workbookViewId="0">
      <selection activeCell="C6" sqref="C6"/>
    </sheetView>
  </sheetViews>
  <sheetFormatPr defaultRowHeight="14.5" x14ac:dyDescent="0.35"/>
  <cols>
    <col min="1" max="1" width="12.453125" bestFit="1" customWidth="1"/>
    <col min="2" max="2" width="12.90625" bestFit="1" customWidth="1"/>
    <col min="3" max="3" width="12.36328125" bestFit="1" customWidth="1"/>
  </cols>
  <sheetData>
    <row r="3" spans="1:3" x14ac:dyDescent="0.35">
      <c r="A3" s="2" t="s">
        <v>30</v>
      </c>
      <c r="B3" t="s">
        <v>32</v>
      </c>
      <c r="C3" t="s">
        <v>33</v>
      </c>
    </row>
    <row r="4" spans="1:3" x14ac:dyDescent="0.35">
      <c r="A4" s="3" t="s">
        <v>15</v>
      </c>
      <c r="B4" s="29">
        <v>607000</v>
      </c>
      <c r="C4" s="29">
        <v>602000</v>
      </c>
    </row>
    <row r="5" spans="1:3" x14ac:dyDescent="0.35">
      <c r="A5" s="3" t="s">
        <v>8</v>
      </c>
      <c r="B5" s="29">
        <v>1295000</v>
      </c>
      <c r="C5" s="29">
        <v>1295000</v>
      </c>
    </row>
    <row r="6" spans="1:3" x14ac:dyDescent="0.35">
      <c r="A6" s="3" t="s">
        <v>11</v>
      </c>
      <c r="B6" s="29">
        <v>720000</v>
      </c>
      <c r="C6" s="29">
        <v>720000</v>
      </c>
    </row>
    <row r="7" spans="1:3" x14ac:dyDescent="0.35">
      <c r="A7" s="3" t="s">
        <v>7</v>
      </c>
      <c r="B7" s="29">
        <v>7670000</v>
      </c>
      <c r="C7" s="29">
        <v>7830000</v>
      </c>
    </row>
    <row r="8" spans="1:3" x14ac:dyDescent="0.35">
      <c r="A8" s="3" t="s">
        <v>10</v>
      </c>
      <c r="B8" s="29">
        <v>2435000</v>
      </c>
      <c r="C8" s="29">
        <v>2492000</v>
      </c>
    </row>
    <row r="9" spans="1:3" x14ac:dyDescent="0.35">
      <c r="A9" s="3" t="s">
        <v>14</v>
      </c>
      <c r="B9" s="29">
        <v>678000</v>
      </c>
      <c r="C9" s="29">
        <v>697000</v>
      </c>
    </row>
    <row r="10" spans="1:3" x14ac:dyDescent="0.35">
      <c r="A10" s="3" t="s">
        <v>12</v>
      </c>
      <c r="B10" s="29">
        <v>483000</v>
      </c>
      <c r="C10" s="29">
        <v>496000</v>
      </c>
    </row>
    <row r="11" spans="1:3" x14ac:dyDescent="0.35">
      <c r="A11" s="3" t="s">
        <v>31</v>
      </c>
      <c r="B11" s="29">
        <v>13888000</v>
      </c>
      <c r="C11" s="29">
        <v>14132000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48AC-426A-4CC3-9E9D-96EEE9092ACD}">
  <dimension ref="A3:C16"/>
  <sheetViews>
    <sheetView topLeftCell="A7" workbookViewId="0">
      <selection activeCell="A8" sqref="A8:C8"/>
      <pivotSelection pane="bottomRight" showHeader="1" extendable="1" axis="axisRow" start="4" max="13" activeRow="7" previousRow="7" click="1" r:id="rId1">
        <pivotArea dataOnly="0" fieldPosition="0">
          <references count="1">
            <reference field="0" count="1">
              <x v="4"/>
            </reference>
          </references>
        </pivotArea>
      </pivotSelection>
    </sheetView>
  </sheetViews>
  <sheetFormatPr defaultRowHeight="14.5" x14ac:dyDescent="0.35"/>
  <cols>
    <col min="1" max="1" width="12.453125" bestFit="1" customWidth="1"/>
    <col min="2" max="2" width="12.90625" bestFit="1" customWidth="1"/>
    <col min="3" max="3" width="12.36328125" bestFit="1" customWidth="1"/>
    <col min="4" max="4" width="14.453125" bestFit="1" customWidth="1"/>
  </cols>
  <sheetData>
    <row r="3" spans="1:3" x14ac:dyDescent="0.35">
      <c r="A3" s="2" t="s">
        <v>30</v>
      </c>
      <c r="B3" t="s">
        <v>32</v>
      </c>
      <c r="C3" t="s">
        <v>33</v>
      </c>
    </row>
    <row r="4" spans="1:3" x14ac:dyDescent="0.35">
      <c r="A4" s="3" t="s">
        <v>5</v>
      </c>
      <c r="B4" s="29">
        <v>935000</v>
      </c>
      <c r="C4" s="29">
        <v>957000</v>
      </c>
    </row>
    <row r="5" spans="1:3" x14ac:dyDescent="0.35">
      <c r="A5" s="3" t="s">
        <v>16</v>
      </c>
      <c r="B5" s="29">
        <v>957000</v>
      </c>
      <c r="C5" s="29">
        <v>971000</v>
      </c>
    </row>
    <row r="6" spans="1:3" x14ac:dyDescent="0.35">
      <c r="A6" s="3" t="s">
        <v>17</v>
      </c>
      <c r="B6" s="29">
        <v>1008000</v>
      </c>
      <c r="C6" s="29">
        <v>1027000</v>
      </c>
    </row>
    <row r="7" spans="1:3" x14ac:dyDescent="0.35">
      <c r="A7" s="3" t="s">
        <v>18</v>
      </c>
      <c r="B7" s="29">
        <v>1055000</v>
      </c>
      <c r="C7" s="29">
        <v>1087000</v>
      </c>
    </row>
    <row r="8" spans="1:3" x14ac:dyDescent="0.35">
      <c r="A8" s="3" t="s">
        <v>19</v>
      </c>
      <c r="B8" s="29">
        <v>1090000</v>
      </c>
      <c r="C8" s="29">
        <v>1121000</v>
      </c>
    </row>
    <row r="9" spans="1:3" x14ac:dyDescent="0.35">
      <c r="A9" s="3" t="s">
        <v>20</v>
      </c>
      <c r="B9" s="29">
        <v>1130000</v>
      </c>
      <c r="C9" s="29">
        <v>1121000</v>
      </c>
    </row>
    <row r="10" spans="1:3" x14ac:dyDescent="0.35">
      <c r="A10" s="3" t="s">
        <v>21</v>
      </c>
      <c r="B10" s="29">
        <v>1177000</v>
      </c>
      <c r="C10" s="29">
        <v>1205000</v>
      </c>
    </row>
    <row r="11" spans="1:3" x14ac:dyDescent="0.35">
      <c r="A11" s="3" t="s">
        <v>22</v>
      </c>
      <c r="B11" s="29">
        <v>1223000</v>
      </c>
      <c r="C11" s="29">
        <v>1221000</v>
      </c>
    </row>
    <row r="12" spans="1:3" x14ac:dyDescent="0.35">
      <c r="A12" s="3" t="s">
        <v>23</v>
      </c>
      <c r="B12" s="29">
        <v>1260000</v>
      </c>
      <c r="C12" s="29">
        <v>1280000</v>
      </c>
    </row>
    <row r="13" spans="1:3" x14ac:dyDescent="0.35">
      <c r="A13" s="3" t="s">
        <v>24</v>
      </c>
      <c r="B13" s="29">
        <v>1295000</v>
      </c>
      <c r="C13" s="29">
        <v>1324000</v>
      </c>
    </row>
    <row r="14" spans="1:3" x14ac:dyDescent="0.35">
      <c r="A14" s="3" t="s">
        <v>25</v>
      </c>
      <c r="B14" s="29">
        <v>1343000</v>
      </c>
      <c r="C14" s="29">
        <v>1365000</v>
      </c>
    </row>
    <row r="15" spans="1:3" x14ac:dyDescent="0.35">
      <c r="A15" s="3" t="s">
        <v>26</v>
      </c>
      <c r="B15" s="29">
        <v>1415000</v>
      </c>
      <c r="C15" s="29">
        <v>1453000</v>
      </c>
    </row>
    <row r="16" spans="1:3" x14ac:dyDescent="0.35">
      <c r="A16" s="3" t="s">
        <v>31</v>
      </c>
      <c r="B16" s="29">
        <v>13888000</v>
      </c>
      <c r="C16" s="29">
        <v>14132000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D0DE-7172-419C-9189-8F397BE8CF04}">
  <dimension ref="A3:B7"/>
  <sheetViews>
    <sheetView workbookViewId="0">
      <selection activeCell="K4" sqref="K4"/>
    </sheetView>
  </sheetViews>
  <sheetFormatPr defaultRowHeight="14.5" x14ac:dyDescent="0.35"/>
  <cols>
    <col min="1" max="1" width="12.453125" bestFit="1" customWidth="1"/>
    <col min="2" max="2" width="13.7265625" bestFit="1" customWidth="1"/>
  </cols>
  <sheetData>
    <row r="3" spans="1:2" x14ac:dyDescent="0.35">
      <c r="A3" s="2" t="s">
        <v>30</v>
      </c>
      <c r="B3" t="s">
        <v>36</v>
      </c>
    </row>
    <row r="4" spans="1:2" x14ac:dyDescent="0.35">
      <c r="A4" s="3" t="s">
        <v>35</v>
      </c>
      <c r="B4" s="29">
        <v>47</v>
      </c>
    </row>
    <row r="5" spans="1:2" x14ac:dyDescent="0.35">
      <c r="A5" s="3" t="s">
        <v>42</v>
      </c>
      <c r="B5" s="29">
        <v>25</v>
      </c>
    </row>
    <row r="6" spans="1:2" x14ac:dyDescent="0.35">
      <c r="A6" s="3" t="s">
        <v>63</v>
      </c>
      <c r="B6" s="29">
        <v>12</v>
      </c>
    </row>
    <row r="7" spans="1:2" x14ac:dyDescent="0.35">
      <c r="A7" s="3" t="s">
        <v>31</v>
      </c>
      <c r="B7" s="29">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CAEB-B3A4-4990-A072-FB5CEE9A56D2}">
  <dimension ref="A1:CI230"/>
  <sheetViews>
    <sheetView tabSelected="1" zoomScale="65" zoomScaleNormal="65" workbookViewId="0">
      <selection activeCell="Q5" sqref="Q5"/>
    </sheetView>
  </sheetViews>
  <sheetFormatPr defaultRowHeight="14.5" x14ac:dyDescent="0.35"/>
  <cols>
    <col min="1" max="1" width="20.26953125" style="5" customWidth="1"/>
    <col min="2" max="2" width="15.54296875" style="5" customWidth="1"/>
    <col min="3" max="3" width="20.26953125" style="5" customWidth="1"/>
    <col min="4" max="4" width="15.6328125" style="5" customWidth="1"/>
    <col min="5" max="5" width="20.08984375" style="5" customWidth="1"/>
    <col min="6" max="6" width="18.36328125" style="5" bestFit="1" customWidth="1"/>
    <col min="7" max="7" width="20.08984375" style="5" customWidth="1"/>
    <col min="8" max="8" width="8.7265625" style="5"/>
    <col min="9" max="9" width="18.36328125" style="5" bestFit="1" customWidth="1"/>
    <col min="10" max="18" width="8.7265625" style="5"/>
    <col min="19" max="87" width="8.7265625" style="13"/>
    <col min="88" max="16384" width="8.7265625" style="5"/>
  </cols>
  <sheetData>
    <row r="1" spans="1:18" ht="28.5" x14ac:dyDescent="0.35">
      <c r="A1" s="20" t="s">
        <v>40</v>
      </c>
      <c r="B1" s="8"/>
      <c r="C1" s="8"/>
      <c r="D1" s="8"/>
      <c r="E1" s="8"/>
      <c r="F1" s="8"/>
      <c r="G1" s="8"/>
      <c r="H1" s="8"/>
      <c r="I1" s="9"/>
      <c r="J1" s="10"/>
      <c r="K1" s="11"/>
      <c r="L1" s="11"/>
      <c r="M1" s="12"/>
      <c r="N1" s="12"/>
      <c r="O1" s="12"/>
      <c r="P1" s="12"/>
      <c r="Q1" s="12"/>
      <c r="R1" s="13"/>
    </row>
    <row r="2" spans="1:18" x14ac:dyDescent="0.35">
      <c r="A2" s="14"/>
      <c r="B2" s="14"/>
      <c r="C2" s="14"/>
      <c r="D2" s="21" t="s">
        <v>41</v>
      </c>
      <c r="E2" s="14"/>
      <c r="F2" s="14"/>
      <c r="G2" s="9"/>
      <c r="H2" s="9"/>
      <c r="I2" s="15"/>
      <c r="J2" s="15"/>
      <c r="K2" s="12"/>
      <c r="L2" s="12"/>
      <c r="M2" s="12"/>
      <c r="N2" s="12"/>
      <c r="O2" s="12"/>
      <c r="P2" s="12"/>
      <c r="Q2" s="13"/>
      <c r="R2" s="13"/>
    </row>
    <row r="3" spans="1:18" x14ac:dyDescent="0.35">
      <c r="A3" s="9"/>
      <c r="B3" s="9"/>
      <c r="C3" s="9"/>
      <c r="D3" s="9"/>
      <c r="E3" s="9"/>
      <c r="F3" s="9"/>
      <c r="G3" s="9"/>
      <c r="H3" s="9"/>
      <c r="I3" s="9"/>
      <c r="J3" s="15"/>
      <c r="K3" s="15"/>
      <c r="L3" s="12"/>
      <c r="M3" s="12"/>
      <c r="N3" s="12"/>
      <c r="O3" s="12"/>
      <c r="P3" s="12"/>
      <c r="Q3" s="12"/>
      <c r="R3" s="13"/>
    </row>
    <row r="4" spans="1:18" x14ac:dyDescent="0.35">
      <c r="A4" s="16"/>
      <c r="B4" s="16"/>
      <c r="C4" s="16"/>
      <c r="D4" s="16"/>
      <c r="E4" s="16"/>
      <c r="F4" s="16"/>
      <c r="G4" s="16"/>
      <c r="H4" s="16"/>
      <c r="I4" s="16"/>
      <c r="J4" s="16"/>
      <c r="K4" s="16"/>
      <c r="L4" s="16"/>
      <c r="M4" s="16"/>
      <c r="N4" s="16"/>
      <c r="O4" s="16"/>
      <c r="P4" s="13"/>
      <c r="Q4" s="13"/>
      <c r="R4" s="13"/>
    </row>
    <row r="5" spans="1:18" ht="23.5" x14ac:dyDescent="0.55000000000000004">
      <c r="A5" s="22" t="s">
        <v>37</v>
      </c>
      <c r="B5" s="23"/>
      <c r="C5" s="22" t="s">
        <v>38</v>
      </c>
      <c r="D5" s="22"/>
      <c r="E5" s="22" t="s">
        <v>39</v>
      </c>
      <c r="F5" s="22"/>
      <c r="G5" s="22" t="s">
        <v>29</v>
      </c>
      <c r="H5" s="16"/>
      <c r="I5" s="16"/>
      <c r="J5" s="16"/>
      <c r="K5" s="16"/>
      <c r="L5" s="16"/>
      <c r="M5" s="16"/>
      <c r="N5" s="16"/>
      <c r="O5" s="16"/>
      <c r="P5" s="13"/>
      <c r="Q5" s="13"/>
      <c r="R5" s="13"/>
    </row>
    <row r="6" spans="1:18" x14ac:dyDescent="0.35">
      <c r="A6" s="24">
        <f>'KPI Helper'!D4</f>
        <v>13888000</v>
      </c>
      <c r="B6" s="25"/>
      <c r="C6" s="24">
        <f>'KPI Helper'!B4</f>
        <v>14132000</v>
      </c>
      <c r="D6" s="25"/>
      <c r="E6" s="26">
        <f>'KPI Helper'!C4</f>
        <v>244000</v>
      </c>
      <c r="F6" s="25"/>
      <c r="G6" s="27">
        <f>IFERROR(E6/A6,0)</f>
        <v>1.7569124423963134E-2</v>
      </c>
      <c r="H6" s="16"/>
      <c r="I6" s="13"/>
      <c r="J6" s="13"/>
      <c r="K6" s="13"/>
      <c r="L6" s="13"/>
      <c r="M6" s="13"/>
      <c r="N6" s="13"/>
      <c r="O6" s="13"/>
      <c r="P6" s="13"/>
      <c r="Q6" s="13"/>
      <c r="R6" s="13"/>
    </row>
    <row r="7" spans="1:18" x14ac:dyDescent="0.35">
      <c r="A7" s="16"/>
      <c r="B7" s="16"/>
      <c r="C7" s="16"/>
      <c r="D7" s="16"/>
      <c r="E7" s="16"/>
      <c r="F7" s="16"/>
      <c r="G7" s="16"/>
      <c r="H7" s="16"/>
      <c r="I7" s="13"/>
      <c r="J7" s="13"/>
      <c r="K7" s="13"/>
      <c r="L7" s="13"/>
      <c r="M7" s="13"/>
      <c r="N7" s="13"/>
      <c r="O7" s="13"/>
      <c r="P7" s="13"/>
      <c r="Q7" s="13"/>
      <c r="R7" s="13"/>
    </row>
    <row r="8" spans="1:18" x14ac:dyDescent="0.35">
      <c r="A8" s="13"/>
      <c r="B8" s="13"/>
      <c r="C8" s="13"/>
      <c r="D8" s="13"/>
      <c r="E8" s="13"/>
      <c r="F8" s="13"/>
      <c r="G8" s="13"/>
      <c r="H8" s="13"/>
      <c r="I8" s="13"/>
      <c r="J8" s="13"/>
      <c r="K8" s="13"/>
      <c r="L8" s="13"/>
      <c r="M8" s="13"/>
      <c r="N8" s="13"/>
      <c r="O8" s="13"/>
      <c r="P8" s="13"/>
      <c r="Q8" s="13"/>
      <c r="R8" s="13"/>
    </row>
    <row r="9" spans="1:18" x14ac:dyDescent="0.35">
      <c r="A9" s="13"/>
      <c r="B9" s="13"/>
      <c r="C9" s="13"/>
      <c r="D9" s="13"/>
      <c r="E9" s="13"/>
      <c r="F9" s="13"/>
      <c r="G9" s="13"/>
      <c r="H9" s="13"/>
      <c r="I9" s="13"/>
      <c r="J9" s="13"/>
      <c r="K9" s="13"/>
      <c r="L9" s="13"/>
      <c r="M9" s="13"/>
      <c r="N9" s="13"/>
      <c r="O9" s="13"/>
      <c r="P9" s="13"/>
      <c r="Q9" s="13"/>
      <c r="R9" s="13"/>
    </row>
    <row r="10" spans="1:18" x14ac:dyDescent="0.35">
      <c r="A10" s="13"/>
      <c r="B10" s="13"/>
      <c r="C10" s="13"/>
      <c r="D10" s="13"/>
      <c r="E10" s="13"/>
      <c r="F10" s="13"/>
      <c r="G10" s="13"/>
      <c r="H10" s="13"/>
      <c r="I10" s="13"/>
      <c r="J10" s="13"/>
      <c r="K10" s="13"/>
      <c r="L10" s="13"/>
      <c r="M10" s="13"/>
      <c r="N10" s="13"/>
      <c r="O10" s="13"/>
      <c r="P10" s="13"/>
      <c r="Q10" s="13"/>
      <c r="R10" s="13"/>
    </row>
    <row r="11" spans="1:18" x14ac:dyDescent="0.35">
      <c r="A11" s="13"/>
      <c r="B11" s="13"/>
      <c r="C11" s="13"/>
      <c r="D11" s="13"/>
      <c r="E11" s="13"/>
      <c r="F11" s="13"/>
      <c r="G11" s="13"/>
      <c r="H11" s="13"/>
      <c r="I11" s="13"/>
      <c r="J11" s="13"/>
      <c r="K11" s="13"/>
      <c r="L11" s="13"/>
      <c r="M11" s="13"/>
      <c r="N11" s="13"/>
      <c r="O11" s="13"/>
      <c r="P11" s="13"/>
      <c r="Q11" s="13"/>
      <c r="R11" s="13"/>
    </row>
    <row r="12" spans="1:18" x14ac:dyDescent="0.35">
      <c r="A12" s="13"/>
      <c r="B12" s="13"/>
      <c r="C12" s="13"/>
      <c r="D12" s="13"/>
      <c r="E12" s="13"/>
      <c r="F12" s="13"/>
      <c r="G12" s="13"/>
      <c r="H12" s="13"/>
      <c r="I12" s="13"/>
      <c r="J12" s="13"/>
      <c r="K12" s="13"/>
      <c r="L12" s="13"/>
      <c r="M12" s="13"/>
      <c r="N12" s="13"/>
      <c r="O12" s="13"/>
      <c r="P12" s="13"/>
      <c r="Q12" s="13"/>
      <c r="R12" s="13"/>
    </row>
    <row r="13" spans="1:18" x14ac:dyDescent="0.35">
      <c r="A13" s="13"/>
      <c r="B13" s="13"/>
      <c r="C13" s="13"/>
      <c r="D13" s="13"/>
      <c r="E13" s="13"/>
      <c r="F13" s="13"/>
      <c r="G13" s="13"/>
      <c r="H13" s="13"/>
      <c r="I13" s="13"/>
      <c r="J13" s="13"/>
      <c r="K13" s="13"/>
      <c r="L13" s="13"/>
      <c r="M13" s="13"/>
      <c r="N13" s="13"/>
      <c r="O13" s="13"/>
      <c r="P13" s="13"/>
      <c r="Q13" s="13"/>
      <c r="R13" s="13"/>
    </row>
    <row r="14" spans="1:18" x14ac:dyDescent="0.35">
      <c r="A14" s="13"/>
      <c r="B14" s="13"/>
      <c r="C14" s="13"/>
      <c r="D14" s="13"/>
      <c r="E14" s="13"/>
      <c r="F14" s="13"/>
      <c r="G14" s="13"/>
      <c r="H14" s="13"/>
      <c r="I14" s="13"/>
      <c r="J14" s="13"/>
      <c r="K14" s="13"/>
      <c r="L14" s="13"/>
      <c r="M14" s="13"/>
      <c r="N14" s="13"/>
      <c r="O14" s="13"/>
      <c r="P14" s="13"/>
      <c r="Q14" s="13"/>
      <c r="R14" s="13"/>
    </row>
    <row r="15" spans="1:18" x14ac:dyDescent="0.35">
      <c r="A15" s="13"/>
      <c r="B15" s="13"/>
      <c r="C15" s="13"/>
      <c r="D15" s="13"/>
      <c r="E15" s="13"/>
      <c r="F15" s="13"/>
      <c r="G15" s="13"/>
      <c r="H15" s="13"/>
      <c r="I15" s="13"/>
      <c r="J15" s="13"/>
      <c r="K15" s="13"/>
      <c r="L15" s="13"/>
      <c r="M15" s="13"/>
      <c r="N15" s="13"/>
      <c r="O15" s="13"/>
      <c r="P15" s="13"/>
      <c r="Q15" s="13"/>
      <c r="R15" s="13"/>
    </row>
    <row r="16" spans="1:18" x14ac:dyDescent="0.35">
      <c r="A16" s="13"/>
      <c r="B16" s="13"/>
      <c r="C16" s="13"/>
      <c r="D16" s="13"/>
      <c r="E16" s="13"/>
      <c r="F16" s="13"/>
      <c r="G16" s="13"/>
      <c r="H16" s="13"/>
      <c r="I16" s="13"/>
      <c r="J16" s="13"/>
      <c r="K16" s="13"/>
      <c r="L16" s="13"/>
      <c r="M16" s="13"/>
      <c r="N16" s="13"/>
      <c r="O16" s="13"/>
      <c r="P16" s="13"/>
      <c r="Q16" s="13"/>
      <c r="R16" s="13"/>
    </row>
    <row r="17" spans="1:18" x14ac:dyDescent="0.35">
      <c r="A17" s="13"/>
      <c r="B17" s="13"/>
      <c r="C17" s="13"/>
      <c r="D17" s="13"/>
      <c r="E17" s="13"/>
      <c r="F17" s="13"/>
      <c r="G17" s="13"/>
      <c r="H17" s="13"/>
      <c r="I17" s="13"/>
      <c r="J17" s="13"/>
      <c r="K17" s="13"/>
      <c r="L17" s="13"/>
      <c r="M17" s="13"/>
      <c r="N17" s="13"/>
      <c r="O17" s="13"/>
      <c r="P17" s="13"/>
      <c r="Q17" s="13"/>
      <c r="R17" s="13"/>
    </row>
    <row r="18" spans="1:18" x14ac:dyDescent="0.35">
      <c r="A18" s="13"/>
      <c r="B18" s="13"/>
      <c r="C18" s="13"/>
      <c r="D18" s="13"/>
      <c r="E18" s="13"/>
      <c r="F18" s="13"/>
      <c r="G18" s="13"/>
      <c r="H18" s="13"/>
      <c r="I18" s="13"/>
      <c r="J18" s="13"/>
      <c r="K18" s="13"/>
      <c r="L18" s="13"/>
      <c r="M18" s="13"/>
      <c r="N18" s="13"/>
      <c r="O18" s="13"/>
      <c r="P18" s="13"/>
      <c r="Q18" s="13"/>
      <c r="R18" s="13"/>
    </row>
    <row r="19" spans="1:18" x14ac:dyDescent="0.35">
      <c r="A19" s="13"/>
      <c r="B19" s="13"/>
      <c r="C19" s="13"/>
      <c r="D19" s="13"/>
      <c r="E19" s="13"/>
      <c r="F19" s="13"/>
      <c r="G19" s="13"/>
      <c r="H19" s="13"/>
      <c r="I19" s="13"/>
      <c r="J19" s="13"/>
      <c r="K19" s="13"/>
      <c r="L19" s="13"/>
      <c r="M19" s="13"/>
      <c r="N19" s="13"/>
      <c r="O19" s="13"/>
      <c r="P19" s="13"/>
      <c r="Q19" s="13"/>
      <c r="R19" s="13"/>
    </row>
    <row r="20" spans="1:18" x14ac:dyDescent="0.35">
      <c r="A20" s="13"/>
      <c r="B20" s="13"/>
      <c r="C20" s="13"/>
      <c r="D20" s="13"/>
      <c r="E20" s="13"/>
      <c r="F20" s="13"/>
      <c r="G20" s="13"/>
      <c r="H20" s="13"/>
      <c r="I20" s="13"/>
      <c r="J20" s="13"/>
      <c r="K20" s="13"/>
      <c r="L20" s="13"/>
      <c r="M20" s="13"/>
      <c r="N20" s="13"/>
      <c r="O20" s="13"/>
      <c r="P20" s="13"/>
      <c r="Q20" s="13"/>
      <c r="R20" s="13"/>
    </row>
    <row r="21" spans="1:18" x14ac:dyDescent="0.35">
      <c r="A21" s="13"/>
      <c r="B21" s="13"/>
      <c r="C21" s="13"/>
      <c r="D21" s="13"/>
      <c r="E21" s="13"/>
      <c r="F21" s="13"/>
      <c r="G21" s="13"/>
      <c r="H21" s="13"/>
      <c r="I21" s="13"/>
      <c r="J21" s="13"/>
      <c r="K21" s="13"/>
      <c r="L21" s="13"/>
      <c r="M21" s="13"/>
      <c r="N21" s="13"/>
      <c r="O21" s="13"/>
      <c r="P21" s="13"/>
      <c r="Q21" s="13"/>
      <c r="R21" s="13"/>
    </row>
    <row r="22" spans="1:18" x14ac:dyDescent="0.35">
      <c r="A22" s="13"/>
      <c r="B22" s="13"/>
      <c r="C22" s="13"/>
      <c r="D22" s="13"/>
      <c r="E22" s="13"/>
      <c r="F22" s="13"/>
      <c r="G22" s="13"/>
      <c r="H22" s="13"/>
      <c r="I22" s="13"/>
      <c r="J22" s="13"/>
      <c r="K22" s="13"/>
      <c r="L22" s="13"/>
      <c r="M22" s="13"/>
      <c r="N22" s="13"/>
      <c r="O22" s="13"/>
      <c r="P22" s="13"/>
      <c r="Q22" s="13"/>
      <c r="R22" s="13"/>
    </row>
    <row r="23" spans="1:18" x14ac:dyDescent="0.35">
      <c r="A23" s="13"/>
      <c r="B23" s="13"/>
      <c r="C23" s="13"/>
      <c r="D23" s="13"/>
      <c r="E23" s="13"/>
      <c r="F23" s="13"/>
      <c r="G23" s="13"/>
      <c r="H23" s="13"/>
      <c r="I23" s="13"/>
      <c r="J23" s="13"/>
      <c r="K23" s="13"/>
      <c r="L23" s="13"/>
      <c r="M23" s="13"/>
      <c r="N23" s="13"/>
      <c r="O23" s="13"/>
      <c r="P23" s="13"/>
      <c r="Q23" s="13"/>
      <c r="R23" s="13"/>
    </row>
    <row r="24" spans="1:18" x14ac:dyDescent="0.35">
      <c r="A24" s="13"/>
      <c r="B24" s="13"/>
      <c r="C24" s="13"/>
      <c r="D24" s="13"/>
      <c r="E24" s="13"/>
      <c r="F24" s="13"/>
      <c r="G24" s="13"/>
      <c r="H24" s="13"/>
      <c r="I24" s="13"/>
      <c r="J24" s="13"/>
      <c r="K24" s="13"/>
      <c r="L24" s="13"/>
      <c r="M24" s="13"/>
      <c r="N24" s="13"/>
      <c r="O24" s="13"/>
      <c r="P24" s="13"/>
      <c r="Q24" s="13"/>
      <c r="R24" s="13"/>
    </row>
    <row r="25" spans="1:18" x14ac:dyDescent="0.35">
      <c r="A25" s="13"/>
      <c r="B25" s="13"/>
      <c r="C25" s="13"/>
      <c r="D25" s="13"/>
      <c r="E25" s="13"/>
      <c r="F25" s="13"/>
      <c r="G25" s="13"/>
      <c r="H25" s="13"/>
      <c r="I25" s="13"/>
      <c r="J25" s="13"/>
      <c r="K25" s="13"/>
      <c r="L25" s="13"/>
      <c r="M25" s="13"/>
      <c r="N25" s="13"/>
      <c r="O25" s="13"/>
      <c r="P25" s="13"/>
      <c r="Q25" s="13"/>
      <c r="R25" s="13"/>
    </row>
    <row r="26" spans="1:18" x14ac:dyDescent="0.35">
      <c r="A26" s="13"/>
      <c r="B26" s="13"/>
      <c r="C26" s="13"/>
      <c r="D26" s="13"/>
      <c r="E26" s="13"/>
      <c r="F26" s="13"/>
      <c r="G26" s="13"/>
      <c r="H26" s="13"/>
      <c r="I26" s="13"/>
      <c r="J26" s="13"/>
      <c r="K26" s="13"/>
      <c r="L26" s="13"/>
      <c r="M26" s="13"/>
      <c r="N26" s="13"/>
      <c r="O26" s="13"/>
      <c r="P26" s="13"/>
      <c r="Q26" s="13"/>
      <c r="R26" s="13"/>
    </row>
    <row r="27" spans="1:18" x14ac:dyDescent="0.35">
      <c r="A27" s="13"/>
      <c r="B27" s="13"/>
      <c r="C27" s="13"/>
      <c r="D27" s="13"/>
      <c r="E27" s="13"/>
      <c r="F27" s="13"/>
      <c r="G27" s="13"/>
      <c r="H27" s="13"/>
      <c r="I27" s="13"/>
      <c r="J27" s="13"/>
      <c r="K27" s="13"/>
      <c r="L27" s="13"/>
      <c r="M27" s="13"/>
      <c r="N27" s="13"/>
      <c r="O27" s="13"/>
      <c r="P27" s="13"/>
      <c r="Q27" s="13"/>
      <c r="R27" s="13"/>
    </row>
    <row r="28" spans="1:18" x14ac:dyDescent="0.35">
      <c r="A28" s="13"/>
      <c r="B28" s="13"/>
      <c r="C28" s="13"/>
      <c r="D28" s="13"/>
      <c r="E28" s="13"/>
      <c r="F28" s="13"/>
      <c r="G28" s="13"/>
      <c r="H28" s="13"/>
      <c r="I28" s="13"/>
      <c r="J28" s="13"/>
      <c r="K28" s="13"/>
      <c r="L28" s="13"/>
      <c r="M28" s="13"/>
      <c r="N28" s="13"/>
      <c r="O28" s="13"/>
      <c r="P28" s="13"/>
      <c r="Q28" s="13"/>
      <c r="R28" s="13"/>
    </row>
    <row r="29" spans="1:18" x14ac:dyDescent="0.35">
      <c r="A29" s="13"/>
      <c r="B29" s="13"/>
      <c r="C29" s="13"/>
      <c r="D29" s="13"/>
      <c r="E29" s="13"/>
      <c r="F29" s="13"/>
      <c r="G29" s="13"/>
      <c r="H29" s="13"/>
      <c r="I29" s="13"/>
      <c r="J29" s="13"/>
      <c r="K29" s="13"/>
      <c r="L29" s="13"/>
      <c r="M29" s="13"/>
      <c r="N29" s="13"/>
      <c r="O29" s="13"/>
      <c r="P29" s="13"/>
      <c r="Q29" s="13"/>
      <c r="R29" s="13"/>
    </row>
    <row r="30" spans="1:18" x14ac:dyDescent="0.35">
      <c r="A30" s="13"/>
      <c r="B30" s="13"/>
      <c r="C30" s="13"/>
      <c r="D30" s="13"/>
      <c r="E30" s="13"/>
      <c r="F30" s="13"/>
      <c r="G30" s="13"/>
      <c r="H30" s="13"/>
      <c r="I30" s="13"/>
      <c r="J30" s="13"/>
      <c r="K30" s="13"/>
      <c r="L30" s="13"/>
      <c r="M30" s="13"/>
      <c r="N30" s="13"/>
      <c r="O30" s="13"/>
      <c r="P30" s="13"/>
      <c r="Q30" s="13"/>
      <c r="R30" s="13"/>
    </row>
    <row r="31" spans="1:18" x14ac:dyDescent="0.35">
      <c r="A31" s="13"/>
      <c r="B31" s="13"/>
      <c r="C31" s="13"/>
      <c r="D31" s="13"/>
      <c r="E31" s="13"/>
      <c r="F31" s="13"/>
      <c r="G31" s="13"/>
      <c r="H31" s="13"/>
      <c r="I31" s="13"/>
      <c r="J31" s="13"/>
      <c r="K31" s="13"/>
      <c r="L31" s="13"/>
      <c r="M31" s="13"/>
      <c r="N31" s="13"/>
      <c r="O31" s="13"/>
      <c r="P31" s="13"/>
      <c r="Q31" s="13"/>
      <c r="R31" s="13"/>
    </row>
    <row r="32" spans="1:18" x14ac:dyDescent="0.35">
      <c r="A32" s="13"/>
      <c r="B32" s="13"/>
      <c r="C32" s="13"/>
      <c r="D32" s="13"/>
      <c r="E32" s="13"/>
      <c r="F32" s="13"/>
      <c r="G32" s="13"/>
      <c r="H32" s="13"/>
      <c r="I32" s="13"/>
      <c r="J32" s="13"/>
      <c r="K32" s="13"/>
      <c r="L32" s="13"/>
      <c r="M32" s="13"/>
      <c r="N32" s="13"/>
      <c r="O32" s="13"/>
      <c r="P32" s="13"/>
      <c r="Q32" s="13"/>
      <c r="R32" s="13"/>
    </row>
    <row r="33" spans="1:18" x14ac:dyDescent="0.35">
      <c r="A33" s="13"/>
      <c r="B33" s="13"/>
      <c r="C33" s="13"/>
      <c r="D33" s="13"/>
      <c r="E33" s="13"/>
      <c r="F33" s="13"/>
      <c r="G33" s="13"/>
      <c r="H33" s="13"/>
      <c r="I33" s="13"/>
      <c r="J33" s="13"/>
      <c r="K33" s="13"/>
      <c r="L33" s="13"/>
      <c r="M33" s="13"/>
      <c r="N33" s="13"/>
      <c r="O33" s="13"/>
      <c r="P33" s="13"/>
      <c r="Q33" s="13"/>
      <c r="R33" s="13"/>
    </row>
    <row r="34" spans="1:18" x14ac:dyDescent="0.35">
      <c r="A34" s="13"/>
      <c r="B34" s="13"/>
      <c r="C34" s="13"/>
      <c r="D34" s="13"/>
      <c r="E34" s="13"/>
      <c r="F34" s="13"/>
      <c r="G34" s="13"/>
      <c r="H34" s="13"/>
      <c r="I34" s="13"/>
      <c r="J34" s="13"/>
      <c r="K34" s="13"/>
      <c r="L34" s="13"/>
      <c r="M34" s="13"/>
      <c r="N34" s="13"/>
      <c r="O34" s="13"/>
      <c r="P34" s="13"/>
      <c r="Q34" s="13"/>
      <c r="R34" s="13"/>
    </row>
    <row r="35" spans="1:18" x14ac:dyDescent="0.35">
      <c r="A35" s="13"/>
      <c r="B35" s="13"/>
      <c r="C35" s="13"/>
      <c r="D35" s="13"/>
      <c r="E35" s="13"/>
      <c r="F35" s="13"/>
      <c r="G35" s="13"/>
      <c r="H35" s="13"/>
      <c r="I35" s="13"/>
      <c r="J35" s="13"/>
      <c r="K35" s="13"/>
      <c r="L35" s="13"/>
      <c r="M35" s="13"/>
      <c r="N35" s="13"/>
      <c r="O35" s="13"/>
      <c r="P35" s="13"/>
      <c r="Q35" s="13"/>
      <c r="R35" s="13"/>
    </row>
    <row r="36" spans="1:18" x14ac:dyDescent="0.35">
      <c r="A36" s="13"/>
      <c r="B36" s="13"/>
      <c r="C36" s="13"/>
      <c r="D36" s="13"/>
      <c r="E36" s="13"/>
      <c r="F36" s="13"/>
      <c r="G36" s="13"/>
      <c r="H36" s="13"/>
      <c r="I36" s="13"/>
      <c r="J36" s="13"/>
      <c r="K36" s="13"/>
      <c r="L36" s="13"/>
      <c r="M36" s="13"/>
      <c r="N36" s="13"/>
      <c r="O36" s="13"/>
      <c r="P36" s="13"/>
      <c r="Q36" s="13"/>
      <c r="R36" s="13"/>
    </row>
    <row r="37" spans="1:18" x14ac:dyDescent="0.35">
      <c r="A37" s="13"/>
      <c r="B37" s="13"/>
      <c r="C37" s="13"/>
      <c r="D37" s="13"/>
      <c r="E37" s="13"/>
      <c r="F37" s="13"/>
      <c r="G37" s="13"/>
      <c r="H37" s="13"/>
      <c r="I37" s="13"/>
      <c r="J37" s="13"/>
      <c r="K37" s="13"/>
      <c r="L37" s="13"/>
      <c r="M37" s="13"/>
      <c r="N37" s="13"/>
      <c r="O37" s="13"/>
      <c r="P37" s="13"/>
      <c r="Q37" s="13"/>
      <c r="R37" s="13"/>
    </row>
    <row r="38" spans="1:18" x14ac:dyDescent="0.35">
      <c r="A38" s="13"/>
      <c r="B38" s="13"/>
      <c r="C38" s="13"/>
      <c r="D38" s="13"/>
      <c r="E38" s="13"/>
      <c r="F38" s="13"/>
      <c r="G38" s="13"/>
      <c r="H38" s="13"/>
      <c r="I38" s="13"/>
      <c r="J38" s="13"/>
      <c r="K38" s="13"/>
      <c r="L38" s="13"/>
      <c r="M38" s="13"/>
      <c r="N38" s="13"/>
      <c r="O38" s="13"/>
      <c r="P38" s="13"/>
      <c r="Q38" s="13"/>
      <c r="R38" s="13"/>
    </row>
    <row r="39" spans="1:18" x14ac:dyDescent="0.35">
      <c r="A39" s="13"/>
      <c r="B39" s="13"/>
      <c r="C39" s="13"/>
      <c r="D39" s="13"/>
      <c r="E39" s="13"/>
      <c r="F39" s="13"/>
      <c r="G39" s="13"/>
      <c r="H39" s="13"/>
      <c r="I39" s="13"/>
      <c r="J39" s="13"/>
      <c r="K39" s="13"/>
      <c r="L39" s="13"/>
      <c r="M39" s="13"/>
      <c r="N39" s="13"/>
      <c r="O39" s="13"/>
      <c r="P39" s="13"/>
      <c r="Q39" s="13"/>
      <c r="R39" s="13"/>
    </row>
    <row r="40" spans="1:18" x14ac:dyDescent="0.35">
      <c r="A40" s="13"/>
      <c r="B40" s="13"/>
      <c r="C40" s="13"/>
      <c r="D40" s="13"/>
      <c r="E40" s="13"/>
      <c r="F40" s="13"/>
      <c r="G40" s="13"/>
      <c r="H40" s="13"/>
      <c r="I40" s="13"/>
      <c r="J40" s="13"/>
      <c r="K40" s="13"/>
      <c r="L40" s="13"/>
      <c r="M40" s="13"/>
      <c r="N40" s="13"/>
      <c r="O40" s="13"/>
      <c r="P40" s="13"/>
      <c r="Q40" s="13"/>
      <c r="R40" s="13"/>
    </row>
    <row r="41" spans="1:18" x14ac:dyDescent="0.35">
      <c r="A41" s="13"/>
      <c r="B41" s="13"/>
      <c r="C41" s="13"/>
      <c r="D41" s="13"/>
      <c r="E41" s="13"/>
      <c r="F41" s="13"/>
      <c r="G41" s="13"/>
      <c r="H41" s="13"/>
      <c r="I41" s="13"/>
      <c r="J41" s="13"/>
      <c r="K41" s="13"/>
      <c r="L41" s="13"/>
      <c r="M41" s="13"/>
      <c r="N41" s="13"/>
      <c r="O41" s="13"/>
      <c r="P41" s="13"/>
      <c r="Q41" s="13"/>
      <c r="R41" s="13"/>
    </row>
    <row r="42" spans="1:18" x14ac:dyDescent="0.35">
      <c r="A42" s="13"/>
      <c r="B42" s="13"/>
      <c r="C42" s="13"/>
      <c r="D42" s="13"/>
      <c r="E42" s="13"/>
      <c r="F42" s="13"/>
      <c r="G42" s="13"/>
      <c r="H42" s="13"/>
      <c r="I42" s="13"/>
      <c r="J42" s="13"/>
      <c r="K42" s="13"/>
      <c r="L42" s="13"/>
      <c r="M42" s="13"/>
      <c r="N42" s="13"/>
      <c r="O42" s="13"/>
      <c r="P42" s="13"/>
      <c r="Q42" s="13"/>
      <c r="R42" s="13"/>
    </row>
    <row r="43" spans="1:18" x14ac:dyDescent="0.35">
      <c r="A43" s="13"/>
      <c r="B43" s="13"/>
      <c r="C43" s="13"/>
      <c r="D43" s="13"/>
      <c r="E43" s="13"/>
      <c r="F43" s="13"/>
      <c r="G43" s="13"/>
      <c r="H43" s="13"/>
      <c r="I43" s="13"/>
      <c r="J43" s="13"/>
      <c r="K43" s="13"/>
      <c r="L43" s="13"/>
      <c r="M43" s="13"/>
      <c r="N43" s="13"/>
      <c r="O43" s="13"/>
      <c r="P43" s="13"/>
      <c r="Q43" s="13"/>
      <c r="R43" s="13"/>
    </row>
    <row r="44" spans="1:18" x14ac:dyDescent="0.35">
      <c r="A44" s="13"/>
      <c r="B44" s="13"/>
      <c r="C44" s="13"/>
      <c r="D44" s="13"/>
      <c r="E44" s="13"/>
      <c r="F44" s="13"/>
      <c r="G44" s="13"/>
      <c r="H44" s="13"/>
      <c r="I44" s="13"/>
      <c r="J44" s="13"/>
      <c r="K44" s="13"/>
      <c r="L44" s="13"/>
      <c r="M44" s="13"/>
      <c r="N44" s="13"/>
      <c r="O44" s="13"/>
      <c r="P44" s="13"/>
      <c r="Q44" s="13"/>
      <c r="R44" s="13"/>
    </row>
    <row r="45" spans="1:18" x14ac:dyDescent="0.35">
      <c r="A45" s="13"/>
      <c r="B45" s="13"/>
      <c r="C45" s="13" t="s">
        <v>64</v>
      </c>
      <c r="D45" s="13"/>
      <c r="E45" s="13"/>
      <c r="F45" s="13"/>
      <c r="G45" s="13"/>
      <c r="H45" s="13"/>
      <c r="I45" s="13"/>
      <c r="J45" s="13"/>
      <c r="K45" s="13"/>
      <c r="L45" s="13"/>
      <c r="M45" s="13"/>
      <c r="N45" s="13"/>
      <c r="O45" s="13"/>
      <c r="P45" s="13"/>
      <c r="Q45" s="13"/>
      <c r="R45" s="13"/>
    </row>
    <row r="46" spans="1:18" x14ac:dyDescent="0.35">
      <c r="A46" s="13"/>
      <c r="B46" s="13"/>
      <c r="C46" s="13"/>
      <c r="D46" s="13"/>
      <c r="E46" s="13"/>
      <c r="F46" s="13"/>
      <c r="G46" s="13"/>
      <c r="H46" s="13"/>
      <c r="I46" s="13"/>
      <c r="J46" s="13"/>
      <c r="K46" s="13"/>
      <c r="L46" s="13"/>
      <c r="M46" s="13"/>
      <c r="N46" s="13"/>
      <c r="O46" s="13"/>
      <c r="P46" s="13"/>
      <c r="Q46" s="13"/>
      <c r="R46" s="13"/>
    </row>
    <row r="47" spans="1:18" x14ac:dyDescent="0.35">
      <c r="A47" s="13"/>
      <c r="B47" s="13"/>
      <c r="C47" s="13"/>
      <c r="D47" s="13"/>
      <c r="E47" s="13"/>
      <c r="F47" s="13"/>
      <c r="G47" s="13"/>
      <c r="H47" s="13"/>
      <c r="I47" s="13"/>
      <c r="J47" s="13"/>
      <c r="K47" s="13"/>
      <c r="L47" s="13"/>
      <c r="M47" s="13"/>
      <c r="N47" s="13"/>
      <c r="O47" s="13"/>
      <c r="P47" s="13"/>
      <c r="Q47" s="13"/>
      <c r="R47" s="13"/>
    </row>
    <row r="48" spans="1:18" x14ac:dyDescent="0.35">
      <c r="A48" s="13"/>
      <c r="B48" s="13"/>
      <c r="C48" s="13"/>
      <c r="D48" s="13"/>
      <c r="E48" s="13"/>
      <c r="F48" s="13"/>
      <c r="G48" s="13"/>
      <c r="H48" s="13"/>
      <c r="I48" s="13"/>
      <c r="J48" s="13"/>
      <c r="K48" s="13"/>
      <c r="L48" s="13"/>
      <c r="M48" s="13"/>
      <c r="N48" s="13"/>
      <c r="O48" s="13"/>
      <c r="P48" s="13"/>
      <c r="Q48" s="13"/>
      <c r="R48" s="13"/>
    </row>
    <row r="49" spans="1:18" x14ac:dyDescent="0.35">
      <c r="A49" s="13"/>
      <c r="B49" s="13"/>
      <c r="C49" s="13"/>
      <c r="D49" s="13"/>
      <c r="E49" s="13"/>
      <c r="F49" s="13"/>
      <c r="G49" s="13"/>
      <c r="H49" s="13"/>
      <c r="I49" s="13"/>
      <c r="J49" s="13"/>
      <c r="K49" s="13"/>
      <c r="L49" s="13"/>
      <c r="M49" s="13"/>
      <c r="N49" s="13"/>
      <c r="O49" s="13"/>
      <c r="P49" s="13"/>
      <c r="Q49" s="13"/>
      <c r="R49" s="13"/>
    </row>
    <row r="50" spans="1:18" x14ac:dyDescent="0.35">
      <c r="A50" s="13"/>
      <c r="B50" s="13"/>
      <c r="C50" s="13"/>
      <c r="D50" s="13"/>
      <c r="E50" s="13"/>
      <c r="F50" s="13"/>
      <c r="G50" s="13"/>
      <c r="H50" s="13"/>
      <c r="I50" s="13"/>
      <c r="J50" s="13"/>
      <c r="K50" s="13"/>
      <c r="L50" s="13"/>
      <c r="M50" s="13"/>
      <c r="N50" s="13"/>
      <c r="O50" s="13"/>
      <c r="P50" s="13"/>
      <c r="Q50" s="13"/>
      <c r="R50" s="13"/>
    </row>
    <row r="51" spans="1:18" x14ac:dyDescent="0.35">
      <c r="A51" s="13"/>
      <c r="B51" s="13"/>
      <c r="C51" s="13"/>
      <c r="D51" s="13"/>
      <c r="E51" s="13"/>
      <c r="F51" s="13"/>
      <c r="G51" s="13"/>
      <c r="H51" s="13"/>
      <c r="I51" s="13"/>
      <c r="J51" s="13"/>
      <c r="K51" s="13"/>
      <c r="L51" s="13"/>
      <c r="M51" s="13"/>
      <c r="N51" s="13"/>
      <c r="O51" s="13"/>
      <c r="P51" s="13"/>
      <c r="Q51" s="13"/>
      <c r="R51" s="13"/>
    </row>
    <row r="52" spans="1:18" x14ac:dyDescent="0.35">
      <c r="A52" s="13"/>
      <c r="B52" s="13"/>
      <c r="C52" s="13"/>
      <c r="D52" s="13"/>
      <c r="E52" s="13"/>
      <c r="F52" s="13"/>
      <c r="G52" s="13"/>
      <c r="H52" s="13"/>
      <c r="I52" s="13"/>
      <c r="J52" s="13"/>
      <c r="K52" s="13"/>
      <c r="L52" s="13"/>
      <c r="M52" s="13"/>
      <c r="N52" s="13"/>
      <c r="O52" s="13"/>
      <c r="P52" s="13"/>
      <c r="Q52" s="13"/>
      <c r="R52" s="13"/>
    </row>
    <row r="53" spans="1:18" x14ac:dyDescent="0.35">
      <c r="A53" s="13"/>
      <c r="B53" s="13"/>
      <c r="C53" s="13"/>
      <c r="D53" s="13"/>
      <c r="E53" s="13"/>
      <c r="F53" s="13"/>
      <c r="G53" s="13"/>
      <c r="H53" s="13"/>
      <c r="I53" s="13"/>
      <c r="J53" s="13"/>
      <c r="K53" s="13"/>
      <c r="L53" s="13"/>
      <c r="M53" s="13"/>
      <c r="N53" s="13"/>
      <c r="O53" s="13"/>
      <c r="P53" s="13"/>
      <c r="Q53" s="13"/>
      <c r="R53" s="13"/>
    </row>
    <row r="54" spans="1:18" x14ac:dyDescent="0.35">
      <c r="A54" s="13"/>
      <c r="B54" s="13"/>
      <c r="C54" s="13"/>
      <c r="D54" s="13"/>
      <c r="E54" s="13"/>
      <c r="F54" s="13"/>
      <c r="G54" s="13"/>
      <c r="H54" s="13"/>
      <c r="I54" s="13"/>
      <c r="J54" s="13"/>
      <c r="K54" s="13"/>
      <c r="L54" s="13"/>
      <c r="M54" s="13"/>
      <c r="N54" s="13"/>
      <c r="O54" s="13"/>
      <c r="P54" s="13"/>
      <c r="Q54" s="13"/>
      <c r="R54" s="13"/>
    </row>
    <row r="55" spans="1:18" ht="16" x14ac:dyDescent="0.4">
      <c r="A55" s="13"/>
      <c r="B55" s="13"/>
      <c r="C55" s="13"/>
      <c r="D55" s="13"/>
      <c r="E55" s="13"/>
      <c r="F55" s="17"/>
      <c r="G55" s="13"/>
      <c r="H55" s="13"/>
      <c r="I55" s="13"/>
      <c r="J55" s="13"/>
      <c r="K55" s="13"/>
      <c r="L55" s="13"/>
      <c r="M55" s="13"/>
      <c r="N55" s="13"/>
      <c r="O55" s="13"/>
      <c r="P55" s="13"/>
      <c r="Q55" s="13"/>
      <c r="R55" s="13"/>
    </row>
    <row r="56" spans="1:18" x14ac:dyDescent="0.35">
      <c r="A56" s="13"/>
      <c r="B56" s="13"/>
      <c r="C56" s="13"/>
      <c r="D56" s="13"/>
      <c r="E56" s="13"/>
      <c r="F56" s="13"/>
      <c r="G56" s="13"/>
      <c r="H56" s="13"/>
      <c r="I56" s="13"/>
      <c r="J56" s="13"/>
      <c r="K56" s="13"/>
      <c r="L56" s="13"/>
      <c r="M56" s="13"/>
      <c r="N56" s="13"/>
      <c r="O56" s="13"/>
      <c r="P56" s="13"/>
      <c r="Q56" s="13"/>
      <c r="R56" s="13"/>
    </row>
    <row r="57" spans="1:18" x14ac:dyDescent="0.35">
      <c r="A57" s="13"/>
      <c r="B57" s="13"/>
      <c r="C57" s="13"/>
      <c r="D57" s="13"/>
      <c r="E57" s="13"/>
      <c r="F57" s="18" t="s">
        <v>43</v>
      </c>
      <c r="G57" s="13" t="s">
        <v>44</v>
      </c>
      <c r="H57" s="13"/>
      <c r="I57" s="13"/>
      <c r="J57" s="13"/>
      <c r="K57" s="13"/>
      <c r="L57" s="13"/>
      <c r="M57" s="13"/>
      <c r="N57" s="13"/>
      <c r="O57" s="13"/>
      <c r="P57" s="13"/>
      <c r="Q57" s="13"/>
      <c r="R57" s="13"/>
    </row>
    <row r="58" spans="1:18" x14ac:dyDescent="0.35">
      <c r="A58" s="13"/>
      <c r="B58" s="13"/>
      <c r="C58" s="13"/>
      <c r="D58" s="13"/>
      <c r="E58" s="13"/>
      <c r="F58" s="13"/>
      <c r="G58" s="13"/>
      <c r="H58" s="13"/>
      <c r="I58" s="13"/>
      <c r="J58" s="13"/>
      <c r="K58" s="13"/>
      <c r="L58" s="13"/>
      <c r="M58" s="13"/>
      <c r="N58" s="13"/>
      <c r="O58" s="13"/>
      <c r="P58" s="13"/>
      <c r="Q58" s="13"/>
      <c r="R58" s="13"/>
    </row>
    <row r="59" spans="1:18" x14ac:dyDescent="0.35">
      <c r="A59" s="13"/>
      <c r="B59" s="13"/>
      <c r="C59" s="13"/>
      <c r="D59" s="13"/>
      <c r="E59" s="13"/>
      <c r="F59" s="18" t="s">
        <v>45</v>
      </c>
      <c r="G59" s="13" t="s">
        <v>46</v>
      </c>
      <c r="H59" s="13"/>
      <c r="I59" s="13"/>
      <c r="J59" s="13"/>
      <c r="K59" s="13"/>
      <c r="L59" s="13"/>
      <c r="M59" s="13"/>
      <c r="N59" s="13"/>
      <c r="O59" s="13"/>
      <c r="P59" s="13"/>
      <c r="Q59" s="13"/>
      <c r="R59" s="13"/>
    </row>
    <row r="60" spans="1:18" x14ac:dyDescent="0.35">
      <c r="A60" s="13"/>
      <c r="B60" s="13"/>
      <c r="C60" s="13"/>
      <c r="D60" s="13"/>
      <c r="E60" s="13"/>
      <c r="F60" s="13"/>
      <c r="G60" s="13"/>
      <c r="H60" s="13"/>
      <c r="I60" s="13"/>
      <c r="J60" s="13"/>
      <c r="K60" s="13"/>
      <c r="L60" s="13"/>
      <c r="M60" s="13"/>
      <c r="N60" s="13"/>
      <c r="O60" s="13"/>
      <c r="P60" s="13"/>
      <c r="Q60" s="13"/>
      <c r="R60" s="13"/>
    </row>
    <row r="61" spans="1:18" x14ac:dyDescent="0.35">
      <c r="A61" s="13"/>
      <c r="B61" s="13"/>
      <c r="C61" s="13"/>
      <c r="D61" s="13"/>
      <c r="E61" s="13"/>
      <c r="F61" s="18" t="s">
        <v>47</v>
      </c>
      <c r="G61" s="13" t="s">
        <v>48</v>
      </c>
      <c r="H61" s="13"/>
      <c r="I61" s="13"/>
      <c r="J61" s="13"/>
      <c r="K61" s="13"/>
      <c r="L61" s="13"/>
      <c r="M61" s="13"/>
      <c r="N61" s="13"/>
      <c r="O61" s="13"/>
      <c r="P61" s="13"/>
      <c r="Q61" s="13"/>
      <c r="R61" s="13"/>
    </row>
    <row r="62" spans="1:18" x14ac:dyDescent="0.35">
      <c r="A62" s="13"/>
      <c r="B62" s="13"/>
      <c r="C62" s="13"/>
      <c r="D62" s="13"/>
      <c r="E62" s="13"/>
      <c r="F62" s="13"/>
      <c r="G62" s="13"/>
      <c r="H62" s="13"/>
      <c r="I62" s="13"/>
      <c r="J62" s="13"/>
      <c r="K62" s="13"/>
      <c r="L62" s="13"/>
      <c r="M62" s="13"/>
      <c r="N62" s="13"/>
      <c r="O62" s="13"/>
      <c r="P62" s="13"/>
      <c r="Q62" s="13"/>
      <c r="R62" s="13"/>
    </row>
    <row r="63" spans="1:18" x14ac:dyDescent="0.35">
      <c r="A63" s="13"/>
      <c r="B63" s="13"/>
      <c r="C63" s="13"/>
      <c r="D63" s="13"/>
      <c r="E63" s="13"/>
      <c r="F63" s="18" t="s">
        <v>49</v>
      </c>
      <c r="G63" s="13" t="s">
        <v>50</v>
      </c>
      <c r="H63" s="13"/>
      <c r="I63" s="13"/>
      <c r="J63" s="13"/>
      <c r="K63" s="13"/>
      <c r="L63" s="13"/>
      <c r="M63" s="13"/>
      <c r="N63" s="13"/>
      <c r="O63" s="13"/>
      <c r="P63" s="13"/>
      <c r="Q63" s="13"/>
      <c r="R63" s="13"/>
    </row>
    <row r="64" spans="1:18" x14ac:dyDescent="0.35">
      <c r="A64" s="13"/>
      <c r="B64" s="13"/>
      <c r="C64" s="13"/>
      <c r="D64" s="13"/>
      <c r="E64" s="13"/>
      <c r="F64" s="13"/>
      <c r="G64" s="13"/>
      <c r="H64" s="13"/>
      <c r="I64" s="13"/>
      <c r="J64" s="13"/>
      <c r="K64" s="13"/>
      <c r="L64" s="13"/>
      <c r="M64" s="13"/>
      <c r="N64" s="13"/>
      <c r="O64" s="13"/>
      <c r="P64" s="13"/>
      <c r="Q64" s="13"/>
      <c r="R64" s="13"/>
    </row>
    <row r="65" spans="1:18" x14ac:dyDescent="0.35">
      <c r="A65" s="13"/>
      <c r="B65" s="13"/>
      <c r="C65" s="13"/>
      <c r="D65" s="13"/>
      <c r="E65" s="13"/>
      <c r="F65" s="13"/>
      <c r="G65" s="13"/>
      <c r="H65" s="13"/>
      <c r="I65" s="13"/>
      <c r="J65" s="13"/>
      <c r="K65" s="13"/>
      <c r="L65" s="13"/>
      <c r="M65" s="13"/>
      <c r="N65" s="13"/>
      <c r="O65" s="13"/>
      <c r="P65" s="13"/>
      <c r="Q65" s="13"/>
      <c r="R65" s="13"/>
    </row>
    <row r="66" spans="1:18" x14ac:dyDescent="0.35">
      <c r="A66" s="13"/>
      <c r="B66" s="13"/>
      <c r="C66" s="13"/>
      <c r="D66" s="13"/>
      <c r="E66" s="13"/>
      <c r="F66" s="13"/>
      <c r="G66" s="13"/>
      <c r="H66" s="13"/>
      <c r="I66" s="13"/>
      <c r="J66" s="13"/>
      <c r="K66" s="13"/>
      <c r="L66" s="13"/>
      <c r="M66" s="13"/>
      <c r="N66" s="13"/>
      <c r="O66" s="13"/>
      <c r="P66" s="13"/>
      <c r="Q66" s="13"/>
      <c r="R66" s="13"/>
    </row>
    <row r="67" spans="1:18" x14ac:dyDescent="0.35">
      <c r="A67" s="13"/>
      <c r="B67" s="13"/>
      <c r="C67" s="13"/>
      <c r="D67" s="13"/>
      <c r="E67" s="13"/>
      <c r="F67" s="13"/>
      <c r="G67" s="13"/>
      <c r="H67" s="13"/>
      <c r="I67" s="13"/>
      <c r="J67" s="13"/>
      <c r="K67" s="13"/>
      <c r="L67" s="13"/>
      <c r="M67" s="13"/>
      <c r="N67" s="13"/>
      <c r="O67" s="13"/>
      <c r="P67" s="13"/>
      <c r="Q67" s="13"/>
      <c r="R67" s="13"/>
    </row>
    <row r="68" spans="1:18" x14ac:dyDescent="0.35">
      <c r="A68" s="13"/>
      <c r="B68" s="13"/>
      <c r="C68" s="13"/>
      <c r="D68" s="13"/>
      <c r="E68" s="13"/>
      <c r="F68" s="13"/>
      <c r="G68" s="13"/>
      <c r="H68" s="13"/>
      <c r="I68" s="13"/>
      <c r="J68" s="13"/>
      <c r="K68" s="13"/>
      <c r="L68" s="13"/>
      <c r="M68" s="13"/>
      <c r="N68" s="13"/>
      <c r="O68" s="13"/>
      <c r="P68" s="13"/>
      <c r="Q68" s="13"/>
      <c r="R68" s="13"/>
    </row>
    <row r="69" spans="1:18" x14ac:dyDescent="0.35">
      <c r="A69" s="13"/>
      <c r="B69" s="19"/>
      <c r="C69" s="19"/>
      <c r="D69" s="19"/>
      <c r="E69" s="32"/>
      <c r="F69" s="32"/>
      <c r="G69" s="32"/>
      <c r="H69" s="19"/>
      <c r="I69" s="19"/>
      <c r="J69" s="19"/>
      <c r="K69" s="13"/>
      <c r="L69" s="13"/>
      <c r="M69" s="13"/>
      <c r="N69" s="13"/>
      <c r="O69" s="13"/>
      <c r="P69" s="13"/>
      <c r="Q69" s="13"/>
      <c r="R69" s="13"/>
    </row>
    <row r="70" spans="1:18" x14ac:dyDescent="0.35">
      <c r="A70" s="13"/>
      <c r="B70" s="13"/>
      <c r="C70" s="13"/>
      <c r="D70" s="13"/>
      <c r="E70" s="13"/>
      <c r="F70" s="13"/>
      <c r="G70" s="13"/>
      <c r="H70" s="13"/>
      <c r="I70" s="13"/>
      <c r="J70" s="13"/>
      <c r="K70" s="13"/>
      <c r="L70" s="13"/>
      <c r="M70" s="13"/>
      <c r="N70" s="13"/>
      <c r="O70" s="13"/>
      <c r="P70" s="13"/>
      <c r="Q70" s="13"/>
      <c r="R70" s="13"/>
    </row>
    <row r="71" spans="1:18" x14ac:dyDescent="0.35">
      <c r="A71" s="13"/>
      <c r="B71" s="13"/>
      <c r="C71" s="13"/>
      <c r="D71" s="13"/>
      <c r="E71" s="13"/>
      <c r="F71" s="13"/>
      <c r="G71" s="13"/>
      <c r="H71" s="13"/>
      <c r="I71" s="13"/>
      <c r="J71" s="13"/>
      <c r="K71" s="13"/>
      <c r="L71" s="13"/>
      <c r="M71" s="13"/>
      <c r="N71" s="13"/>
      <c r="O71" s="13"/>
      <c r="P71" s="13"/>
      <c r="Q71" s="13"/>
      <c r="R71" s="13"/>
    </row>
    <row r="72" spans="1:18" x14ac:dyDescent="0.35">
      <c r="A72" s="13"/>
      <c r="B72" s="13"/>
      <c r="C72" s="13"/>
      <c r="D72" s="13"/>
      <c r="E72" s="13"/>
      <c r="F72" s="13"/>
      <c r="G72" s="13"/>
      <c r="H72" s="13"/>
      <c r="I72" s="13"/>
      <c r="J72" s="13"/>
      <c r="K72" s="13"/>
      <c r="L72" s="13"/>
      <c r="M72" s="13"/>
      <c r="N72" s="13"/>
      <c r="O72" s="13"/>
      <c r="P72" s="13"/>
      <c r="Q72" s="13"/>
      <c r="R72" s="13"/>
    </row>
    <row r="73" spans="1:18" x14ac:dyDescent="0.35">
      <c r="A73" s="13"/>
      <c r="B73" s="13"/>
      <c r="C73" s="13"/>
      <c r="D73" s="13"/>
      <c r="E73" s="13"/>
      <c r="F73" s="13"/>
      <c r="G73" s="13"/>
      <c r="H73" s="13"/>
      <c r="I73" s="13"/>
      <c r="J73" s="13"/>
      <c r="K73" s="13"/>
      <c r="L73" s="13"/>
      <c r="M73" s="13"/>
      <c r="N73" s="13"/>
      <c r="O73" s="13"/>
      <c r="P73" s="13"/>
      <c r="Q73" s="13"/>
      <c r="R73" s="13"/>
    </row>
    <row r="74" spans="1:18" x14ac:dyDescent="0.35">
      <c r="A74" s="13"/>
      <c r="B74" s="13"/>
      <c r="C74" s="13"/>
      <c r="D74" s="13"/>
      <c r="E74" s="13"/>
      <c r="F74" s="13"/>
      <c r="G74" s="13"/>
      <c r="H74" s="13"/>
      <c r="I74" s="13"/>
      <c r="J74" s="13"/>
      <c r="K74" s="13"/>
      <c r="L74" s="13"/>
      <c r="M74" s="13"/>
      <c r="N74" s="13"/>
      <c r="O74" s="13"/>
      <c r="P74" s="13"/>
      <c r="Q74" s="13"/>
      <c r="R74" s="13"/>
    </row>
    <row r="75" spans="1:18" x14ac:dyDescent="0.35">
      <c r="A75" s="13"/>
      <c r="B75" s="13"/>
      <c r="C75" s="13"/>
      <c r="D75" s="13"/>
      <c r="E75" s="13"/>
      <c r="F75" s="13"/>
      <c r="G75" s="13"/>
      <c r="H75" s="13"/>
      <c r="I75" s="13"/>
      <c r="J75" s="13"/>
      <c r="K75" s="13"/>
      <c r="L75" s="13"/>
      <c r="M75" s="13"/>
      <c r="N75" s="13"/>
      <c r="O75" s="13"/>
      <c r="P75" s="13"/>
      <c r="Q75" s="13"/>
      <c r="R75" s="13"/>
    </row>
    <row r="76" spans="1:18" x14ac:dyDescent="0.35">
      <c r="A76" s="13"/>
      <c r="B76" s="13"/>
      <c r="C76" s="13"/>
      <c r="D76" s="13"/>
      <c r="E76" s="13"/>
      <c r="F76" s="13"/>
      <c r="G76" s="13"/>
      <c r="H76" s="13"/>
      <c r="I76" s="13"/>
      <c r="J76" s="13"/>
      <c r="K76" s="13"/>
      <c r="L76" s="13"/>
      <c r="M76" s="13"/>
      <c r="N76" s="13"/>
      <c r="O76" s="13"/>
      <c r="P76" s="13"/>
      <c r="Q76" s="13"/>
      <c r="R76" s="13"/>
    </row>
    <row r="77" spans="1:18" x14ac:dyDescent="0.35">
      <c r="A77" s="13"/>
      <c r="B77" s="13"/>
      <c r="C77" s="13"/>
      <c r="D77" s="13"/>
      <c r="E77" s="13"/>
      <c r="F77" s="13"/>
      <c r="G77" s="13"/>
      <c r="H77" s="13"/>
      <c r="I77" s="13"/>
      <c r="J77" s="13"/>
      <c r="K77" s="13"/>
      <c r="L77" s="13"/>
      <c r="M77" s="13"/>
      <c r="N77" s="13"/>
      <c r="O77" s="13"/>
      <c r="P77" s="13"/>
      <c r="Q77" s="13"/>
      <c r="R77" s="13"/>
    </row>
    <row r="78" spans="1:18" x14ac:dyDescent="0.35">
      <c r="A78" s="13"/>
      <c r="B78" s="13"/>
      <c r="C78" s="13"/>
      <c r="D78" s="13"/>
      <c r="E78" s="13"/>
      <c r="F78" s="13"/>
      <c r="G78" s="13"/>
      <c r="H78" s="13"/>
      <c r="I78" s="13"/>
      <c r="J78" s="13"/>
      <c r="K78" s="13"/>
      <c r="L78" s="13"/>
      <c r="M78" s="13"/>
      <c r="N78" s="13"/>
      <c r="O78" s="13"/>
      <c r="P78" s="13"/>
      <c r="Q78" s="13"/>
      <c r="R78" s="13"/>
    </row>
    <row r="79" spans="1:18" x14ac:dyDescent="0.35">
      <c r="A79" s="13"/>
      <c r="B79" s="13"/>
      <c r="C79" s="13"/>
      <c r="D79" s="13"/>
      <c r="E79" s="13"/>
      <c r="F79" s="13"/>
      <c r="G79" s="13"/>
      <c r="H79" s="13"/>
      <c r="I79" s="13"/>
      <c r="J79" s="13"/>
      <c r="K79" s="13"/>
      <c r="L79" s="13"/>
      <c r="M79" s="13"/>
      <c r="N79" s="13"/>
      <c r="O79" s="13"/>
      <c r="P79" s="13"/>
      <c r="Q79" s="13"/>
      <c r="R79" s="13"/>
    </row>
    <row r="80" spans="1:18" x14ac:dyDescent="0.35">
      <c r="A80" s="13"/>
      <c r="B80" s="13"/>
      <c r="C80" s="13"/>
      <c r="D80" s="13"/>
      <c r="E80" s="13"/>
      <c r="F80" s="13"/>
      <c r="G80" s="13"/>
      <c r="H80" s="13"/>
      <c r="I80" s="13"/>
      <c r="J80" s="13"/>
      <c r="K80" s="13"/>
      <c r="L80" s="13"/>
      <c r="M80" s="13"/>
      <c r="N80" s="13"/>
      <c r="O80" s="13"/>
      <c r="P80" s="13"/>
      <c r="Q80" s="13"/>
      <c r="R80" s="13"/>
    </row>
    <row r="81" spans="1:18" x14ac:dyDescent="0.35">
      <c r="A81" s="13"/>
      <c r="B81" s="13"/>
      <c r="C81" s="13"/>
      <c r="D81" s="13"/>
      <c r="E81" s="13"/>
      <c r="F81" s="13"/>
      <c r="G81" s="13"/>
      <c r="H81" s="13"/>
      <c r="I81" s="13"/>
      <c r="J81" s="13"/>
      <c r="K81" s="13"/>
      <c r="L81" s="13"/>
      <c r="M81" s="13"/>
      <c r="N81" s="13"/>
      <c r="O81" s="13"/>
      <c r="P81" s="13"/>
      <c r="Q81" s="13"/>
      <c r="R81" s="13"/>
    </row>
    <row r="82" spans="1:18" x14ac:dyDescent="0.35">
      <c r="A82" s="13"/>
      <c r="B82" s="13"/>
      <c r="C82" s="13"/>
      <c r="D82" s="13"/>
      <c r="E82" s="13"/>
      <c r="F82" s="13"/>
      <c r="G82" s="13"/>
      <c r="H82" s="13"/>
      <c r="I82" s="13"/>
      <c r="J82" s="13"/>
      <c r="K82" s="13"/>
      <c r="L82" s="13"/>
      <c r="M82" s="13"/>
      <c r="N82" s="13"/>
      <c r="O82" s="13"/>
      <c r="P82" s="13"/>
      <c r="Q82" s="13"/>
      <c r="R82" s="13"/>
    </row>
    <row r="83" spans="1:18" x14ac:dyDescent="0.35">
      <c r="A83" s="13"/>
      <c r="B83" s="13"/>
      <c r="C83" s="13"/>
      <c r="D83" s="13"/>
      <c r="E83" s="13"/>
      <c r="F83" s="13"/>
      <c r="G83" s="13"/>
      <c r="H83" s="13"/>
      <c r="I83" s="13"/>
      <c r="J83" s="13"/>
      <c r="K83" s="13"/>
      <c r="L83" s="13"/>
      <c r="M83" s="13"/>
      <c r="N83" s="13"/>
      <c r="O83" s="13"/>
      <c r="P83" s="13"/>
      <c r="Q83" s="13"/>
      <c r="R83" s="13"/>
    </row>
    <row r="84" spans="1:18" x14ac:dyDescent="0.35">
      <c r="A84" s="13"/>
      <c r="B84" s="13"/>
      <c r="C84" s="13"/>
      <c r="D84" s="13"/>
      <c r="E84" s="13"/>
      <c r="F84" s="13"/>
      <c r="G84" s="13"/>
      <c r="H84" s="13"/>
      <c r="I84" s="13"/>
      <c r="J84" s="13"/>
      <c r="K84" s="13"/>
      <c r="L84" s="13"/>
      <c r="M84" s="13"/>
      <c r="N84" s="13"/>
      <c r="O84" s="13"/>
      <c r="P84" s="13"/>
      <c r="Q84" s="13"/>
      <c r="R84" s="13"/>
    </row>
    <row r="85" spans="1:18" x14ac:dyDescent="0.35">
      <c r="A85" s="13"/>
      <c r="B85" s="13"/>
      <c r="C85" s="13"/>
      <c r="D85" s="13"/>
      <c r="E85" s="13"/>
      <c r="F85" s="13"/>
      <c r="G85" s="13"/>
      <c r="H85" s="13"/>
      <c r="I85" s="13"/>
      <c r="J85" s="13"/>
      <c r="K85" s="13"/>
      <c r="L85" s="13"/>
      <c r="M85" s="13"/>
      <c r="N85" s="13"/>
      <c r="O85" s="13"/>
      <c r="P85" s="13"/>
      <c r="Q85" s="13"/>
      <c r="R85" s="13"/>
    </row>
    <row r="86" spans="1:18" x14ac:dyDescent="0.35">
      <c r="A86" s="13"/>
      <c r="B86" s="13"/>
      <c r="C86" s="13"/>
      <c r="D86" s="13"/>
      <c r="E86" s="13"/>
      <c r="F86" s="13"/>
      <c r="G86" s="13"/>
      <c r="H86" s="13"/>
      <c r="I86" s="13"/>
      <c r="J86" s="13"/>
      <c r="K86" s="13"/>
      <c r="L86" s="13"/>
      <c r="M86" s="13"/>
      <c r="N86" s="13"/>
      <c r="O86" s="13"/>
      <c r="P86" s="13"/>
      <c r="Q86" s="13"/>
      <c r="R86" s="13"/>
    </row>
    <row r="87" spans="1:18" x14ac:dyDescent="0.35">
      <c r="A87" s="13"/>
      <c r="B87" s="13"/>
      <c r="C87" s="13"/>
      <c r="D87" s="13"/>
      <c r="E87" s="13"/>
      <c r="F87" s="13"/>
      <c r="G87" s="13"/>
      <c r="H87" s="13"/>
      <c r="I87" s="13"/>
      <c r="J87" s="13"/>
      <c r="K87" s="13"/>
      <c r="L87" s="13"/>
      <c r="M87" s="13"/>
      <c r="N87" s="13"/>
      <c r="O87" s="13"/>
      <c r="P87" s="13"/>
      <c r="Q87" s="13"/>
      <c r="R87" s="13"/>
    </row>
    <row r="88" spans="1:18" x14ac:dyDescent="0.35">
      <c r="A88" s="13"/>
      <c r="B88" s="13"/>
      <c r="C88" s="13"/>
      <c r="D88" s="13"/>
      <c r="E88" s="13"/>
      <c r="F88" s="13"/>
      <c r="G88" s="13"/>
      <c r="H88" s="13"/>
      <c r="I88" s="13"/>
      <c r="J88" s="13"/>
      <c r="K88" s="13"/>
      <c r="L88" s="13"/>
      <c r="M88" s="13"/>
      <c r="N88" s="13"/>
      <c r="O88" s="13"/>
      <c r="P88" s="13"/>
      <c r="Q88" s="13"/>
      <c r="R88" s="13"/>
    </row>
    <row r="89" spans="1:18" x14ac:dyDescent="0.35">
      <c r="A89" s="13"/>
      <c r="B89" s="13"/>
      <c r="C89" s="13"/>
      <c r="D89" s="13"/>
      <c r="E89" s="13"/>
      <c r="F89" s="13"/>
      <c r="G89" s="13"/>
      <c r="H89" s="13"/>
      <c r="I89" s="13"/>
      <c r="J89" s="13"/>
      <c r="K89" s="13"/>
      <c r="L89" s="13"/>
      <c r="M89" s="13"/>
      <c r="N89" s="13"/>
      <c r="O89" s="13"/>
      <c r="P89" s="13"/>
      <c r="Q89" s="13"/>
      <c r="R89" s="13"/>
    </row>
    <row r="90" spans="1:18" x14ac:dyDescent="0.35">
      <c r="A90" s="13"/>
      <c r="B90" s="13"/>
      <c r="C90" s="13"/>
      <c r="D90" s="13"/>
      <c r="E90" s="13"/>
      <c r="F90" s="13"/>
      <c r="G90" s="13"/>
      <c r="H90" s="13"/>
      <c r="I90" s="13"/>
      <c r="J90" s="13"/>
      <c r="K90" s="13"/>
      <c r="L90" s="13"/>
      <c r="M90" s="13"/>
      <c r="N90" s="13"/>
      <c r="O90" s="13"/>
      <c r="P90" s="13"/>
      <c r="Q90" s="13"/>
      <c r="R90" s="13"/>
    </row>
    <row r="91" spans="1:18" x14ac:dyDescent="0.35">
      <c r="A91" s="13"/>
      <c r="B91" s="13"/>
      <c r="C91" s="13"/>
      <c r="D91" s="13"/>
      <c r="E91" s="13"/>
      <c r="F91" s="13"/>
      <c r="G91" s="13"/>
      <c r="H91" s="13"/>
      <c r="I91" s="13"/>
      <c r="J91" s="13"/>
      <c r="K91" s="13"/>
      <c r="L91" s="13"/>
      <c r="M91" s="13"/>
      <c r="N91" s="13"/>
      <c r="O91" s="13"/>
      <c r="P91" s="13"/>
      <c r="Q91" s="13"/>
      <c r="R91" s="13"/>
    </row>
    <row r="92" spans="1:18" x14ac:dyDescent="0.35">
      <c r="A92" s="13"/>
      <c r="B92" s="13"/>
      <c r="C92" s="13"/>
      <c r="D92" s="13"/>
      <c r="E92" s="13"/>
      <c r="F92" s="13"/>
      <c r="G92" s="13"/>
      <c r="H92" s="13"/>
      <c r="I92" s="13"/>
      <c r="J92" s="13"/>
      <c r="K92" s="13"/>
      <c r="L92" s="13"/>
      <c r="M92" s="13"/>
      <c r="N92" s="13"/>
      <c r="O92" s="13"/>
      <c r="P92" s="13"/>
      <c r="Q92" s="13"/>
      <c r="R92" s="13"/>
    </row>
    <row r="93" spans="1:18" x14ac:dyDescent="0.35">
      <c r="A93" s="13"/>
      <c r="B93" s="13"/>
      <c r="C93" s="13"/>
      <c r="D93" s="13"/>
      <c r="E93" s="13"/>
      <c r="F93" s="13"/>
      <c r="G93" s="13"/>
      <c r="H93" s="13"/>
      <c r="I93" s="13"/>
      <c r="J93" s="13"/>
      <c r="K93" s="13"/>
      <c r="L93" s="13"/>
      <c r="M93" s="13"/>
      <c r="N93" s="13"/>
      <c r="O93" s="13"/>
      <c r="P93" s="13"/>
      <c r="Q93" s="13"/>
      <c r="R93" s="13"/>
    </row>
    <row r="94" spans="1:18" x14ac:dyDescent="0.35">
      <c r="A94" s="13"/>
      <c r="B94" s="13"/>
      <c r="C94" s="13"/>
      <c r="D94" s="13"/>
      <c r="E94" s="13"/>
      <c r="F94" s="13"/>
      <c r="G94" s="13"/>
      <c r="H94" s="13"/>
      <c r="I94" s="13"/>
      <c r="J94" s="13"/>
      <c r="K94" s="13"/>
      <c r="L94" s="13"/>
      <c r="M94" s="13"/>
      <c r="N94" s="13"/>
      <c r="O94" s="13"/>
      <c r="P94" s="13"/>
      <c r="Q94" s="13"/>
      <c r="R94" s="13"/>
    </row>
    <row r="95" spans="1:18" x14ac:dyDescent="0.35">
      <c r="A95" s="13"/>
      <c r="B95" s="13"/>
      <c r="C95" s="13"/>
      <c r="D95" s="13"/>
      <c r="E95" s="13"/>
      <c r="F95" s="13"/>
      <c r="G95" s="13"/>
      <c r="H95" s="13"/>
      <c r="I95" s="13"/>
      <c r="J95" s="13"/>
      <c r="K95" s="13"/>
      <c r="L95" s="13"/>
      <c r="M95" s="13"/>
      <c r="N95" s="13"/>
      <c r="O95" s="13"/>
      <c r="P95" s="13"/>
      <c r="Q95" s="13"/>
      <c r="R95" s="13"/>
    </row>
    <row r="96" spans="1:18" x14ac:dyDescent="0.35">
      <c r="A96" s="13"/>
      <c r="B96" s="13"/>
      <c r="C96" s="13"/>
      <c r="D96" s="13"/>
      <c r="E96" s="13"/>
      <c r="F96" s="13"/>
      <c r="G96" s="13"/>
      <c r="H96" s="13"/>
      <c r="I96" s="13"/>
      <c r="J96" s="13"/>
      <c r="K96" s="13"/>
      <c r="L96" s="13"/>
      <c r="M96" s="13"/>
      <c r="N96" s="13"/>
      <c r="O96" s="13"/>
      <c r="P96" s="13"/>
      <c r="Q96" s="13"/>
      <c r="R96" s="13"/>
    </row>
    <row r="97" spans="1:18" x14ac:dyDescent="0.35">
      <c r="A97" s="13"/>
      <c r="B97" s="13"/>
      <c r="C97" s="13"/>
      <c r="D97" s="13"/>
      <c r="E97" s="13"/>
      <c r="F97" s="13"/>
      <c r="G97" s="13"/>
      <c r="H97" s="13"/>
      <c r="I97" s="13"/>
      <c r="J97" s="13"/>
      <c r="K97" s="13"/>
      <c r="L97" s="13"/>
      <c r="M97" s="13"/>
      <c r="N97" s="13"/>
      <c r="O97" s="13"/>
      <c r="P97" s="13"/>
      <c r="Q97" s="13"/>
      <c r="R97" s="13"/>
    </row>
    <row r="98" spans="1:18" x14ac:dyDescent="0.35">
      <c r="A98" s="13"/>
      <c r="B98" s="13"/>
      <c r="C98" s="13"/>
      <c r="D98" s="13"/>
      <c r="E98" s="13"/>
      <c r="F98" s="13"/>
      <c r="G98" s="13"/>
      <c r="H98" s="13"/>
      <c r="I98" s="13"/>
      <c r="J98" s="13"/>
      <c r="K98" s="13"/>
      <c r="L98" s="13"/>
      <c r="M98" s="13"/>
      <c r="N98" s="13"/>
      <c r="O98" s="13"/>
      <c r="P98" s="13"/>
      <c r="Q98" s="13"/>
      <c r="R98" s="13"/>
    </row>
    <row r="99" spans="1:18" x14ac:dyDescent="0.35">
      <c r="A99" s="13"/>
      <c r="B99" s="13"/>
      <c r="C99" s="13"/>
      <c r="D99" s="13"/>
      <c r="E99" s="13"/>
      <c r="F99" s="13"/>
      <c r="G99" s="13"/>
      <c r="H99" s="13"/>
      <c r="I99" s="13"/>
      <c r="J99" s="13"/>
      <c r="K99" s="13"/>
      <c r="L99" s="13"/>
      <c r="M99" s="13"/>
      <c r="N99" s="13"/>
      <c r="O99" s="13"/>
      <c r="P99" s="13"/>
      <c r="Q99" s="13"/>
      <c r="R99" s="13"/>
    </row>
    <row r="100" spans="1:18" x14ac:dyDescent="0.35">
      <c r="A100" s="13"/>
      <c r="B100" s="13"/>
      <c r="C100" s="13"/>
      <c r="D100" s="13"/>
      <c r="E100" s="13"/>
      <c r="F100" s="13"/>
      <c r="G100" s="13"/>
      <c r="H100" s="13"/>
      <c r="I100" s="13"/>
      <c r="J100" s="13"/>
      <c r="K100" s="13"/>
      <c r="L100" s="13"/>
      <c r="M100" s="13"/>
      <c r="N100" s="13"/>
      <c r="O100" s="13"/>
      <c r="P100" s="13"/>
      <c r="Q100" s="13"/>
      <c r="R100" s="13"/>
    </row>
    <row r="101" spans="1:18" x14ac:dyDescent="0.35">
      <c r="A101" s="13"/>
      <c r="B101" s="13"/>
      <c r="C101" s="13"/>
      <c r="D101" s="13"/>
      <c r="E101" s="13"/>
      <c r="F101" s="13"/>
      <c r="G101" s="13"/>
      <c r="H101" s="13"/>
      <c r="I101" s="13"/>
      <c r="J101" s="13"/>
      <c r="K101" s="13"/>
      <c r="L101" s="13"/>
      <c r="M101" s="13"/>
      <c r="N101" s="13"/>
      <c r="O101" s="13"/>
      <c r="P101" s="13"/>
      <c r="Q101" s="13"/>
      <c r="R101" s="13"/>
    </row>
    <row r="102" spans="1:18" x14ac:dyDescent="0.35">
      <c r="A102" s="13"/>
      <c r="B102" s="13"/>
      <c r="C102" s="13"/>
      <c r="D102" s="13"/>
      <c r="E102" s="13"/>
      <c r="F102" s="13"/>
      <c r="G102" s="13"/>
      <c r="H102" s="13"/>
      <c r="I102" s="13"/>
      <c r="J102" s="13"/>
      <c r="K102" s="13"/>
      <c r="L102" s="13"/>
      <c r="M102" s="13"/>
      <c r="N102" s="13"/>
      <c r="O102" s="13"/>
      <c r="P102" s="13"/>
      <c r="Q102" s="13"/>
      <c r="R102" s="13"/>
    </row>
    <row r="103" spans="1:18" x14ac:dyDescent="0.35">
      <c r="A103" s="13"/>
      <c r="B103" s="13"/>
      <c r="C103" s="13"/>
      <c r="D103" s="13"/>
      <c r="E103" s="13"/>
      <c r="F103" s="13"/>
      <c r="G103" s="13"/>
      <c r="H103" s="13"/>
      <c r="I103" s="13"/>
      <c r="J103" s="13"/>
      <c r="K103" s="13"/>
      <c r="L103" s="13"/>
      <c r="M103" s="13"/>
      <c r="N103" s="13"/>
      <c r="O103" s="13"/>
      <c r="P103" s="13"/>
      <c r="Q103" s="13"/>
      <c r="R103" s="13"/>
    </row>
    <row r="104" spans="1:18" x14ac:dyDescent="0.35">
      <c r="A104" s="13"/>
      <c r="B104" s="13"/>
      <c r="C104" s="13"/>
      <c r="D104" s="13"/>
      <c r="E104" s="13"/>
      <c r="F104" s="13"/>
      <c r="G104" s="13"/>
      <c r="H104" s="13"/>
      <c r="I104" s="13"/>
      <c r="J104" s="13"/>
      <c r="K104" s="13"/>
      <c r="L104" s="13"/>
      <c r="M104" s="13"/>
      <c r="N104" s="13"/>
      <c r="O104" s="13"/>
      <c r="P104" s="13"/>
      <c r="Q104" s="13"/>
      <c r="R104" s="13"/>
    </row>
    <row r="105" spans="1:18" x14ac:dyDescent="0.35">
      <c r="A105" s="13"/>
      <c r="B105" s="13"/>
      <c r="C105" s="13"/>
      <c r="D105" s="13"/>
      <c r="E105" s="13"/>
      <c r="F105" s="13"/>
      <c r="G105" s="13"/>
      <c r="H105" s="13"/>
      <c r="I105" s="13"/>
      <c r="J105" s="13"/>
      <c r="K105" s="13"/>
      <c r="L105" s="13"/>
      <c r="M105" s="13"/>
      <c r="N105" s="13"/>
      <c r="O105" s="13"/>
      <c r="P105" s="13"/>
      <c r="Q105" s="13"/>
      <c r="R105" s="13"/>
    </row>
    <row r="106" spans="1:18" x14ac:dyDescent="0.35">
      <c r="A106" s="13"/>
      <c r="B106" s="13"/>
      <c r="C106" s="13"/>
      <c r="D106" s="13"/>
      <c r="E106" s="13"/>
      <c r="F106" s="13"/>
      <c r="G106" s="13"/>
      <c r="H106" s="13"/>
      <c r="I106" s="13"/>
      <c r="J106" s="13"/>
      <c r="K106" s="13"/>
      <c r="L106" s="13"/>
      <c r="M106" s="13"/>
      <c r="N106" s="13"/>
      <c r="O106" s="13"/>
      <c r="P106" s="13"/>
      <c r="Q106" s="13"/>
      <c r="R106" s="13"/>
    </row>
    <row r="107" spans="1:18" x14ac:dyDescent="0.35">
      <c r="A107" s="13"/>
      <c r="B107" s="13"/>
      <c r="C107" s="13"/>
      <c r="D107" s="13"/>
      <c r="E107" s="13"/>
      <c r="F107" s="13"/>
      <c r="G107" s="13"/>
      <c r="H107" s="13"/>
      <c r="I107" s="13"/>
      <c r="J107" s="13"/>
      <c r="K107" s="13"/>
      <c r="L107" s="13"/>
      <c r="M107" s="13"/>
      <c r="N107" s="13"/>
      <c r="O107" s="13"/>
      <c r="P107" s="13"/>
      <c r="Q107" s="13"/>
      <c r="R107" s="13"/>
    </row>
    <row r="108" spans="1:18" x14ac:dyDescent="0.35">
      <c r="A108" s="13"/>
      <c r="B108" s="13"/>
      <c r="C108" s="13"/>
      <c r="D108" s="13"/>
      <c r="E108" s="13"/>
      <c r="F108" s="13"/>
      <c r="G108" s="13"/>
      <c r="H108" s="13"/>
      <c r="I108" s="13"/>
      <c r="J108" s="13"/>
      <c r="K108" s="13"/>
      <c r="L108" s="13"/>
      <c r="M108" s="13"/>
      <c r="N108" s="13"/>
      <c r="O108" s="13"/>
      <c r="P108" s="13"/>
      <c r="Q108" s="13"/>
      <c r="R108" s="13"/>
    </row>
    <row r="109" spans="1:18" x14ac:dyDescent="0.35">
      <c r="A109" s="13"/>
      <c r="B109" s="13"/>
      <c r="C109" s="13"/>
      <c r="D109" s="13"/>
      <c r="E109" s="13"/>
      <c r="F109" s="13"/>
      <c r="G109" s="13"/>
      <c r="H109" s="13"/>
      <c r="I109" s="13"/>
      <c r="J109" s="13"/>
      <c r="K109" s="13"/>
      <c r="L109" s="13"/>
      <c r="M109" s="13"/>
      <c r="N109" s="13"/>
      <c r="O109" s="13"/>
      <c r="P109" s="13"/>
      <c r="Q109" s="13"/>
      <c r="R109" s="13"/>
    </row>
    <row r="110" spans="1:18" x14ac:dyDescent="0.35">
      <c r="A110" s="13"/>
      <c r="B110" s="13"/>
      <c r="C110" s="13"/>
      <c r="D110" s="13"/>
      <c r="E110" s="13"/>
      <c r="F110" s="13"/>
      <c r="G110" s="13"/>
      <c r="H110" s="13"/>
      <c r="I110" s="13"/>
      <c r="J110" s="13"/>
      <c r="K110" s="13"/>
      <c r="L110" s="13"/>
      <c r="M110" s="13"/>
      <c r="N110" s="13"/>
      <c r="O110" s="13"/>
      <c r="P110" s="13"/>
      <c r="Q110" s="13"/>
      <c r="R110" s="13"/>
    </row>
    <row r="111" spans="1:18" x14ac:dyDescent="0.35">
      <c r="A111" s="13"/>
      <c r="B111" s="13"/>
      <c r="C111" s="13"/>
      <c r="D111" s="13"/>
      <c r="E111" s="13"/>
      <c r="F111" s="13"/>
      <c r="G111" s="13"/>
      <c r="H111" s="13"/>
      <c r="I111" s="13"/>
      <c r="J111" s="13"/>
      <c r="K111" s="13"/>
      <c r="L111" s="13"/>
      <c r="M111" s="13"/>
      <c r="N111" s="13"/>
      <c r="O111" s="13"/>
      <c r="P111" s="13"/>
      <c r="Q111" s="13"/>
      <c r="R111" s="13"/>
    </row>
    <row r="112" spans="1:18" x14ac:dyDescent="0.35">
      <c r="A112" s="13"/>
      <c r="B112" s="13"/>
      <c r="C112" s="13"/>
      <c r="D112" s="13"/>
      <c r="E112" s="13"/>
      <c r="F112" s="13"/>
      <c r="G112" s="13"/>
      <c r="H112" s="13"/>
      <c r="I112" s="13"/>
      <c r="J112" s="13"/>
      <c r="K112" s="13"/>
      <c r="L112" s="13"/>
      <c r="M112" s="13"/>
      <c r="N112" s="13"/>
      <c r="O112" s="13"/>
      <c r="P112" s="13"/>
      <c r="Q112" s="13"/>
      <c r="R112" s="13"/>
    </row>
    <row r="113" spans="1:18" x14ac:dyDescent="0.35">
      <c r="A113" s="13"/>
      <c r="B113" s="13"/>
      <c r="C113" s="13"/>
      <c r="D113" s="13"/>
      <c r="E113" s="13"/>
      <c r="F113" s="13"/>
      <c r="G113" s="13"/>
      <c r="H113" s="13"/>
      <c r="I113" s="13"/>
      <c r="J113" s="13"/>
      <c r="K113" s="13"/>
      <c r="L113" s="13"/>
      <c r="M113" s="13"/>
      <c r="N113" s="13"/>
      <c r="O113" s="13"/>
      <c r="P113" s="13"/>
      <c r="Q113" s="13"/>
      <c r="R113" s="13"/>
    </row>
    <row r="114" spans="1:18" x14ac:dyDescent="0.35">
      <c r="A114" s="13"/>
      <c r="B114" s="13"/>
      <c r="C114" s="13"/>
      <c r="D114" s="13"/>
      <c r="E114" s="13"/>
      <c r="F114" s="13"/>
      <c r="G114" s="13"/>
      <c r="H114" s="13"/>
      <c r="I114" s="13"/>
      <c r="J114" s="13"/>
      <c r="K114" s="13"/>
      <c r="L114" s="13"/>
      <c r="M114" s="13"/>
      <c r="N114" s="13"/>
      <c r="O114" s="13"/>
      <c r="P114" s="13"/>
      <c r="Q114" s="13"/>
      <c r="R114" s="13"/>
    </row>
    <row r="115" spans="1:18" x14ac:dyDescent="0.35">
      <c r="A115" s="13"/>
      <c r="B115" s="13"/>
      <c r="C115" s="13"/>
      <c r="D115" s="13"/>
      <c r="E115" s="13"/>
      <c r="F115" s="13"/>
      <c r="G115" s="13"/>
      <c r="H115" s="13"/>
      <c r="I115" s="13"/>
      <c r="J115" s="13"/>
      <c r="K115" s="13"/>
      <c r="L115" s="13"/>
      <c r="M115" s="13"/>
      <c r="N115" s="13"/>
      <c r="O115" s="13"/>
      <c r="P115" s="13"/>
      <c r="Q115" s="13"/>
      <c r="R115" s="13"/>
    </row>
    <row r="116" spans="1:18" x14ac:dyDescent="0.35">
      <c r="A116" s="13"/>
      <c r="B116" s="13"/>
      <c r="C116" s="13"/>
      <c r="D116" s="13"/>
      <c r="E116" s="13"/>
      <c r="F116" s="13"/>
      <c r="G116" s="13"/>
      <c r="H116" s="13"/>
      <c r="I116" s="13"/>
      <c r="J116" s="13"/>
      <c r="K116" s="13"/>
      <c r="L116" s="13"/>
      <c r="M116" s="13"/>
      <c r="N116" s="13"/>
      <c r="O116" s="13"/>
      <c r="P116" s="13"/>
      <c r="Q116" s="13"/>
      <c r="R116" s="13"/>
    </row>
    <row r="117" spans="1:18" x14ac:dyDescent="0.35">
      <c r="A117" s="13"/>
      <c r="B117" s="13"/>
      <c r="C117" s="13"/>
      <c r="D117" s="13"/>
      <c r="E117" s="13"/>
      <c r="F117" s="13"/>
      <c r="G117" s="13"/>
      <c r="H117" s="13"/>
      <c r="I117" s="13"/>
      <c r="J117" s="13"/>
      <c r="K117" s="13"/>
      <c r="L117" s="13"/>
      <c r="M117" s="13"/>
      <c r="N117" s="13"/>
      <c r="O117" s="13"/>
      <c r="P117" s="13"/>
      <c r="Q117" s="13"/>
      <c r="R117" s="13"/>
    </row>
    <row r="118" spans="1:18" x14ac:dyDescent="0.35">
      <c r="A118" s="13"/>
      <c r="B118" s="13"/>
      <c r="C118" s="13"/>
      <c r="D118" s="13"/>
      <c r="E118" s="13"/>
      <c r="F118" s="13"/>
      <c r="G118" s="13"/>
      <c r="H118" s="13"/>
      <c r="I118" s="13"/>
      <c r="J118" s="13"/>
      <c r="K118" s="13"/>
      <c r="L118" s="13"/>
      <c r="M118" s="13"/>
      <c r="N118" s="13"/>
      <c r="O118" s="13"/>
      <c r="P118" s="13"/>
      <c r="Q118" s="13"/>
      <c r="R118" s="13"/>
    </row>
    <row r="119" spans="1:18" x14ac:dyDescent="0.35">
      <c r="A119" s="13"/>
      <c r="B119" s="13"/>
      <c r="C119" s="13"/>
      <c r="D119" s="13"/>
      <c r="E119" s="13"/>
      <c r="F119" s="13"/>
      <c r="G119" s="13"/>
      <c r="H119" s="13"/>
      <c r="I119" s="13"/>
      <c r="J119" s="13"/>
      <c r="K119" s="13"/>
      <c r="L119" s="13"/>
      <c r="M119" s="13"/>
      <c r="N119" s="13"/>
      <c r="O119" s="13"/>
      <c r="P119" s="13"/>
      <c r="Q119" s="13"/>
      <c r="R119" s="13"/>
    </row>
    <row r="120" spans="1:18" x14ac:dyDescent="0.35">
      <c r="A120" s="13"/>
      <c r="B120" s="13"/>
      <c r="C120" s="13"/>
      <c r="D120" s="13"/>
      <c r="E120" s="13"/>
      <c r="F120" s="13"/>
      <c r="G120" s="13"/>
      <c r="H120" s="13"/>
      <c r="I120" s="13"/>
      <c r="J120" s="13"/>
      <c r="K120" s="13"/>
      <c r="L120" s="13"/>
      <c r="M120" s="13"/>
      <c r="N120" s="13"/>
      <c r="O120" s="13"/>
      <c r="P120" s="13"/>
      <c r="Q120" s="13"/>
      <c r="R120" s="13"/>
    </row>
    <row r="121" spans="1:18" x14ac:dyDescent="0.35">
      <c r="A121" s="13"/>
      <c r="B121" s="13"/>
      <c r="C121" s="13"/>
      <c r="D121" s="13"/>
      <c r="E121" s="13"/>
      <c r="F121" s="13"/>
      <c r="G121" s="13"/>
      <c r="H121" s="13"/>
      <c r="I121" s="13"/>
      <c r="J121" s="13"/>
      <c r="K121" s="13"/>
      <c r="L121" s="13"/>
      <c r="M121" s="13"/>
      <c r="N121" s="13"/>
      <c r="O121" s="13"/>
      <c r="P121" s="13"/>
      <c r="Q121" s="13"/>
      <c r="R121" s="13"/>
    </row>
    <row r="122" spans="1:18" x14ac:dyDescent="0.35">
      <c r="A122" s="13"/>
      <c r="B122" s="13"/>
      <c r="C122" s="13"/>
      <c r="D122" s="13"/>
      <c r="E122" s="13"/>
      <c r="F122" s="13"/>
      <c r="G122" s="13"/>
      <c r="H122" s="13"/>
      <c r="I122" s="13"/>
      <c r="J122" s="13"/>
      <c r="K122" s="13"/>
      <c r="L122" s="13"/>
      <c r="M122" s="13"/>
      <c r="N122" s="13"/>
      <c r="O122" s="13"/>
      <c r="P122" s="13"/>
      <c r="Q122" s="13"/>
      <c r="R122" s="13"/>
    </row>
    <row r="123" spans="1:18" x14ac:dyDescent="0.35">
      <c r="A123" s="13"/>
      <c r="B123" s="13"/>
      <c r="C123" s="13"/>
      <c r="D123" s="13"/>
      <c r="E123" s="13"/>
      <c r="F123" s="13"/>
      <c r="G123" s="13"/>
      <c r="H123" s="13"/>
      <c r="I123" s="13"/>
      <c r="J123" s="13"/>
      <c r="K123" s="13"/>
      <c r="L123" s="13"/>
      <c r="M123" s="13"/>
      <c r="N123" s="13"/>
      <c r="O123" s="13"/>
      <c r="P123" s="13"/>
      <c r="Q123" s="13"/>
      <c r="R123" s="13"/>
    </row>
    <row r="124" spans="1:18" x14ac:dyDescent="0.35">
      <c r="A124" s="13"/>
      <c r="B124" s="13"/>
      <c r="C124" s="13"/>
      <c r="D124" s="13"/>
      <c r="E124" s="13"/>
      <c r="F124" s="13"/>
      <c r="G124" s="13"/>
      <c r="H124" s="13"/>
      <c r="I124" s="13"/>
      <c r="J124" s="13"/>
      <c r="K124" s="13"/>
      <c r="L124" s="13"/>
      <c r="M124" s="13"/>
      <c r="N124" s="13"/>
      <c r="O124" s="13"/>
      <c r="P124" s="13"/>
      <c r="Q124" s="13"/>
      <c r="R124" s="13"/>
    </row>
    <row r="125" spans="1:18" x14ac:dyDescent="0.35">
      <c r="A125" s="13"/>
      <c r="B125" s="13"/>
      <c r="C125" s="13"/>
      <c r="D125" s="13"/>
      <c r="E125" s="13"/>
      <c r="F125" s="13"/>
      <c r="G125" s="13"/>
      <c r="H125" s="13"/>
      <c r="I125" s="13"/>
      <c r="J125" s="13"/>
      <c r="K125" s="13"/>
      <c r="L125" s="13"/>
      <c r="M125" s="13"/>
      <c r="N125" s="13"/>
      <c r="O125" s="13"/>
      <c r="P125" s="13"/>
      <c r="Q125" s="13"/>
      <c r="R125" s="13"/>
    </row>
    <row r="126" spans="1:18" x14ac:dyDescent="0.35">
      <c r="A126" s="13"/>
      <c r="B126" s="13"/>
      <c r="C126" s="13"/>
      <c r="D126" s="13"/>
      <c r="E126" s="13"/>
      <c r="F126" s="13"/>
      <c r="G126" s="13"/>
      <c r="H126" s="13"/>
      <c r="I126" s="13"/>
      <c r="J126" s="13"/>
      <c r="K126" s="13"/>
      <c r="L126" s="13"/>
      <c r="M126" s="13"/>
      <c r="N126" s="13"/>
      <c r="O126" s="13"/>
      <c r="P126" s="13"/>
      <c r="Q126" s="13"/>
      <c r="R126" s="13"/>
    </row>
    <row r="127" spans="1:18" x14ac:dyDescent="0.35">
      <c r="A127" s="13"/>
      <c r="B127" s="13"/>
      <c r="C127" s="13"/>
      <c r="D127" s="13"/>
      <c r="E127" s="13"/>
      <c r="F127" s="13"/>
      <c r="G127" s="13"/>
      <c r="H127" s="13"/>
      <c r="I127" s="13"/>
      <c r="J127" s="13"/>
      <c r="K127" s="13"/>
      <c r="L127" s="13"/>
      <c r="M127" s="13"/>
      <c r="N127" s="13"/>
      <c r="O127" s="13"/>
      <c r="P127" s="13"/>
      <c r="Q127" s="13"/>
      <c r="R127" s="13"/>
    </row>
    <row r="128" spans="1:18" x14ac:dyDescent="0.35">
      <c r="A128" s="13"/>
      <c r="B128" s="13"/>
      <c r="C128" s="13"/>
      <c r="D128" s="13"/>
      <c r="E128" s="13"/>
      <c r="F128" s="13"/>
      <c r="G128" s="13"/>
      <c r="H128" s="13"/>
      <c r="I128" s="13"/>
      <c r="J128" s="13"/>
      <c r="K128" s="13"/>
      <c r="L128" s="13"/>
      <c r="M128" s="13"/>
      <c r="N128" s="13"/>
      <c r="O128" s="13"/>
      <c r="P128" s="13"/>
      <c r="Q128" s="13"/>
      <c r="R128" s="13"/>
    </row>
    <row r="129" spans="1:18" x14ac:dyDescent="0.35">
      <c r="A129" s="13"/>
      <c r="B129" s="13"/>
      <c r="C129" s="13"/>
      <c r="D129" s="13"/>
      <c r="E129" s="13"/>
      <c r="F129" s="13"/>
      <c r="G129" s="13"/>
      <c r="H129" s="13"/>
      <c r="I129" s="13"/>
      <c r="J129" s="13"/>
      <c r="K129" s="13"/>
      <c r="L129" s="13"/>
      <c r="M129" s="13"/>
      <c r="N129" s="13"/>
      <c r="O129" s="13"/>
      <c r="P129" s="13"/>
      <c r="Q129" s="13"/>
      <c r="R129" s="13"/>
    </row>
    <row r="130" spans="1:18" x14ac:dyDescent="0.35">
      <c r="A130" s="13"/>
      <c r="B130" s="13"/>
      <c r="C130" s="13"/>
      <c r="D130" s="13"/>
      <c r="E130" s="13"/>
      <c r="F130" s="13"/>
      <c r="G130" s="13"/>
      <c r="H130" s="13"/>
      <c r="I130" s="13"/>
      <c r="J130" s="13"/>
      <c r="K130" s="13"/>
      <c r="L130" s="13"/>
      <c r="M130" s="13"/>
      <c r="N130" s="13"/>
      <c r="O130" s="13"/>
      <c r="P130" s="13"/>
      <c r="Q130" s="13"/>
      <c r="R130" s="13"/>
    </row>
    <row r="131" spans="1:18" x14ac:dyDescent="0.35">
      <c r="A131" s="13"/>
      <c r="B131" s="13"/>
      <c r="C131" s="13"/>
      <c r="D131" s="13"/>
      <c r="E131" s="13"/>
      <c r="F131" s="13"/>
      <c r="G131" s="13"/>
      <c r="H131" s="13"/>
      <c r="I131" s="13"/>
      <c r="J131" s="13"/>
      <c r="K131" s="13"/>
      <c r="L131" s="13"/>
      <c r="M131" s="13"/>
      <c r="N131" s="13"/>
      <c r="O131" s="13"/>
      <c r="P131" s="13"/>
      <c r="Q131" s="13"/>
      <c r="R131" s="13"/>
    </row>
    <row r="132" spans="1:18" x14ac:dyDescent="0.35">
      <c r="A132" s="13"/>
      <c r="B132" s="13"/>
      <c r="C132" s="13"/>
      <c r="D132" s="13"/>
      <c r="E132" s="13"/>
      <c r="F132" s="13"/>
      <c r="G132" s="13"/>
      <c r="H132" s="13"/>
      <c r="I132" s="13"/>
      <c r="J132" s="13"/>
      <c r="K132" s="13"/>
      <c r="L132" s="13"/>
      <c r="M132" s="13"/>
      <c r="N132" s="13"/>
      <c r="O132" s="13"/>
      <c r="P132" s="13"/>
      <c r="Q132" s="13"/>
      <c r="R132" s="13"/>
    </row>
    <row r="133" spans="1:18" x14ac:dyDescent="0.35">
      <c r="A133" s="13"/>
      <c r="B133" s="13"/>
      <c r="C133" s="13"/>
      <c r="D133" s="13"/>
      <c r="E133" s="13"/>
      <c r="F133" s="13"/>
      <c r="G133" s="13"/>
      <c r="H133" s="13"/>
      <c r="I133" s="13"/>
      <c r="J133" s="13"/>
      <c r="K133" s="13"/>
      <c r="L133" s="13"/>
      <c r="M133" s="13"/>
      <c r="N133" s="13"/>
      <c r="O133" s="13"/>
      <c r="P133" s="13"/>
      <c r="Q133" s="13"/>
      <c r="R133" s="13"/>
    </row>
    <row r="134" spans="1:18" x14ac:dyDescent="0.35">
      <c r="A134" s="13"/>
      <c r="B134" s="13"/>
      <c r="C134" s="13"/>
      <c r="D134" s="13"/>
      <c r="E134" s="13"/>
      <c r="F134" s="13"/>
      <c r="G134" s="13"/>
      <c r="H134" s="13"/>
      <c r="I134" s="13"/>
      <c r="J134" s="13"/>
      <c r="K134" s="13"/>
      <c r="L134" s="13"/>
      <c r="M134" s="13"/>
      <c r="N134" s="13"/>
      <c r="O134" s="13"/>
      <c r="P134" s="13"/>
      <c r="Q134" s="13"/>
      <c r="R134" s="13"/>
    </row>
    <row r="135" spans="1:18" x14ac:dyDescent="0.35">
      <c r="A135" s="13"/>
      <c r="B135" s="13"/>
      <c r="C135" s="13"/>
      <c r="D135" s="13"/>
      <c r="E135" s="13"/>
      <c r="F135" s="13"/>
      <c r="G135" s="13"/>
      <c r="H135" s="13"/>
      <c r="I135" s="13"/>
      <c r="J135" s="13"/>
      <c r="K135" s="13"/>
      <c r="L135" s="13"/>
      <c r="M135" s="13"/>
      <c r="N135" s="13"/>
      <c r="O135" s="13"/>
      <c r="P135" s="13"/>
      <c r="Q135" s="13"/>
      <c r="R135" s="13"/>
    </row>
    <row r="136" spans="1:18" x14ac:dyDescent="0.35">
      <c r="A136" s="13"/>
      <c r="B136" s="13"/>
      <c r="C136" s="13"/>
      <c r="D136" s="13"/>
      <c r="E136" s="13"/>
      <c r="F136" s="13"/>
      <c r="G136" s="13"/>
      <c r="H136" s="13"/>
      <c r="I136" s="13"/>
      <c r="J136" s="13"/>
      <c r="K136" s="13"/>
      <c r="L136" s="13"/>
      <c r="M136" s="13"/>
      <c r="N136" s="13"/>
      <c r="O136" s="13"/>
      <c r="P136" s="13"/>
      <c r="Q136" s="13"/>
      <c r="R136" s="13"/>
    </row>
    <row r="137" spans="1:18" x14ac:dyDescent="0.35">
      <c r="A137" s="13"/>
      <c r="B137" s="13"/>
      <c r="C137" s="13"/>
      <c r="D137" s="13"/>
      <c r="E137" s="13"/>
      <c r="F137" s="13"/>
      <c r="G137" s="13"/>
      <c r="H137" s="13"/>
      <c r="I137" s="13"/>
      <c r="J137" s="13"/>
      <c r="K137" s="13"/>
      <c r="L137" s="13"/>
      <c r="M137" s="13"/>
      <c r="N137" s="13"/>
      <c r="O137" s="13"/>
      <c r="P137" s="13"/>
      <c r="Q137" s="13"/>
      <c r="R137" s="13"/>
    </row>
    <row r="138" spans="1:18" x14ac:dyDescent="0.35">
      <c r="A138" s="13"/>
      <c r="B138" s="13"/>
      <c r="C138" s="13"/>
      <c r="D138" s="13"/>
      <c r="E138" s="13"/>
      <c r="F138" s="13"/>
      <c r="G138" s="13"/>
      <c r="H138" s="13"/>
      <c r="I138" s="13"/>
      <c r="J138" s="13"/>
      <c r="K138" s="13"/>
      <c r="L138" s="13"/>
      <c r="M138" s="13"/>
      <c r="N138" s="13"/>
      <c r="O138" s="13"/>
      <c r="P138" s="13"/>
      <c r="Q138" s="13"/>
      <c r="R138" s="13"/>
    </row>
    <row r="139" spans="1:18" x14ac:dyDescent="0.35">
      <c r="A139" s="13"/>
      <c r="B139" s="13"/>
      <c r="C139" s="13"/>
      <c r="D139" s="13"/>
      <c r="E139" s="13"/>
      <c r="F139" s="13"/>
      <c r="G139" s="13"/>
      <c r="H139" s="13"/>
      <c r="I139" s="13"/>
      <c r="J139" s="13"/>
      <c r="K139" s="13"/>
      <c r="L139" s="13"/>
      <c r="M139" s="13"/>
      <c r="N139" s="13"/>
      <c r="O139" s="13"/>
      <c r="P139" s="13"/>
      <c r="Q139" s="13"/>
      <c r="R139" s="13"/>
    </row>
    <row r="140" spans="1:18" x14ac:dyDescent="0.35">
      <c r="A140" s="13"/>
      <c r="B140" s="13"/>
      <c r="C140" s="13"/>
      <c r="D140" s="13"/>
      <c r="E140" s="13"/>
      <c r="F140" s="13"/>
      <c r="G140" s="13"/>
      <c r="H140" s="13"/>
      <c r="I140" s="13"/>
      <c r="J140" s="13"/>
      <c r="K140" s="13"/>
      <c r="L140" s="13"/>
      <c r="M140" s="13"/>
      <c r="N140" s="13"/>
      <c r="O140" s="13"/>
      <c r="P140" s="13"/>
      <c r="Q140" s="13"/>
      <c r="R140" s="13"/>
    </row>
    <row r="141" spans="1:18" x14ac:dyDescent="0.35">
      <c r="A141" s="13"/>
      <c r="B141" s="13"/>
      <c r="C141" s="13"/>
      <c r="D141" s="13"/>
      <c r="E141" s="13"/>
      <c r="F141" s="13"/>
      <c r="G141" s="13"/>
      <c r="H141" s="13"/>
      <c r="I141" s="13"/>
      <c r="J141" s="13"/>
      <c r="K141" s="13"/>
      <c r="L141" s="13"/>
      <c r="M141" s="13"/>
      <c r="N141" s="13"/>
      <c r="O141" s="13"/>
      <c r="P141" s="13"/>
      <c r="Q141" s="13"/>
      <c r="R141" s="13"/>
    </row>
    <row r="142" spans="1:18" x14ac:dyDescent="0.35">
      <c r="A142" s="13"/>
      <c r="B142" s="13"/>
      <c r="C142" s="13"/>
      <c r="D142" s="13"/>
      <c r="E142" s="13"/>
      <c r="F142" s="13"/>
      <c r="G142" s="13"/>
      <c r="H142" s="13"/>
      <c r="I142" s="13"/>
      <c r="J142" s="13"/>
      <c r="K142" s="13"/>
      <c r="L142" s="13"/>
      <c r="M142" s="13"/>
      <c r="N142" s="13"/>
      <c r="O142" s="13"/>
      <c r="P142" s="13"/>
      <c r="Q142" s="13"/>
      <c r="R142" s="13"/>
    </row>
    <row r="143" spans="1:18" x14ac:dyDescent="0.35">
      <c r="A143" s="13"/>
      <c r="B143" s="13"/>
      <c r="C143" s="13"/>
      <c r="D143" s="13"/>
      <c r="E143" s="13"/>
      <c r="F143" s="13"/>
      <c r="G143" s="13"/>
      <c r="H143" s="13"/>
      <c r="I143" s="13"/>
      <c r="J143" s="13"/>
      <c r="K143" s="13"/>
      <c r="L143" s="13"/>
      <c r="M143" s="13"/>
      <c r="N143" s="13"/>
      <c r="O143" s="13"/>
      <c r="P143" s="13"/>
      <c r="Q143" s="13"/>
      <c r="R143" s="13"/>
    </row>
    <row r="144" spans="1:18" x14ac:dyDescent="0.35">
      <c r="A144" s="13"/>
      <c r="B144" s="13"/>
      <c r="C144" s="13"/>
      <c r="D144" s="13"/>
      <c r="E144" s="13"/>
      <c r="F144" s="13"/>
      <c r="G144" s="13"/>
      <c r="H144" s="13"/>
      <c r="I144" s="13"/>
      <c r="J144" s="13"/>
      <c r="K144" s="13"/>
      <c r="L144" s="13"/>
      <c r="M144" s="13"/>
      <c r="N144" s="13"/>
      <c r="O144" s="13"/>
      <c r="P144" s="13"/>
      <c r="Q144" s="13"/>
      <c r="R144" s="13"/>
    </row>
    <row r="145" spans="1:18" x14ac:dyDescent="0.35">
      <c r="A145" s="13"/>
      <c r="B145" s="13"/>
      <c r="C145" s="13"/>
      <c r="D145" s="13"/>
      <c r="E145" s="13"/>
      <c r="F145" s="13"/>
      <c r="G145" s="13"/>
      <c r="H145" s="13"/>
      <c r="I145" s="13"/>
      <c r="J145" s="13"/>
      <c r="K145" s="13"/>
      <c r="L145" s="13"/>
      <c r="M145" s="13"/>
      <c r="N145" s="13"/>
      <c r="O145" s="13"/>
      <c r="P145" s="13"/>
      <c r="Q145" s="13"/>
      <c r="R145" s="13"/>
    </row>
    <row r="146" spans="1:18" x14ac:dyDescent="0.35">
      <c r="A146" s="13"/>
      <c r="B146" s="13"/>
      <c r="C146" s="13"/>
      <c r="D146" s="13"/>
      <c r="E146" s="13"/>
      <c r="F146" s="13"/>
      <c r="G146" s="13"/>
      <c r="H146" s="13"/>
      <c r="I146" s="13"/>
      <c r="J146" s="13"/>
      <c r="K146" s="13"/>
      <c r="L146" s="13"/>
      <c r="M146" s="13"/>
      <c r="N146" s="13"/>
      <c r="O146" s="13"/>
      <c r="P146" s="13"/>
      <c r="Q146" s="13"/>
      <c r="R146" s="13"/>
    </row>
    <row r="147" spans="1:18" x14ac:dyDescent="0.35">
      <c r="A147" s="13"/>
      <c r="B147" s="13"/>
      <c r="C147" s="13"/>
      <c r="D147" s="13"/>
      <c r="E147" s="13"/>
      <c r="F147" s="13"/>
      <c r="G147" s="13"/>
      <c r="H147" s="13"/>
      <c r="I147" s="13"/>
      <c r="J147" s="13"/>
      <c r="K147" s="13"/>
      <c r="L147" s="13"/>
      <c r="M147" s="13"/>
      <c r="N147" s="13"/>
      <c r="O147" s="13"/>
      <c r="P147" s="13"/>
      <c r="Q147" s="13"/>
      <c r="R147" s="13"/>
    </row>
    <row r="148" spans="1:18" x14ac:dyDescent="0.35">
      <c r="A148" s="13"/>
      <c r="B148" s="13"/>
      <c r="C148" s="13"/>
      <c r="D148" s="13"/>
      <c r="E148" s="13"/>
      <c r="F148" s="13"/>
      <c r="G148" s="13"/>
      <c r="H148" s="13"/>
      <c r="I148" s="13"/>
      <c r="J148" s="13"/>
      <c r="K148" s="13"/>
      <c r="L148" s="13"/>
      <c r="M148" s="13"/>
      <c r="N148" s="13"/>
      <c r="O148" s="13"/>
      <c r="P148" s="13"/>
      <c r="Q148" s="13"/>
      <c r="R148" s="13"/>
    </row>
    <row r="149" spans="1:18" x14ac:dyDescent="0.35">
      <c r="A149" s="13"/>
      <c r="B149" s="13"/>
      <c r="C149" s="13"/>
      <c r="D149" s="13"/>
      <c r="E149" s="13"/>
      <c r="F149" s="13"/>
      <c r="G149" s="13"/>
      <c r="H149" s="13"/>
      <c r="I149" s="13"/>
      <c r="J149" s="13"/>
      <c r="K149" s="13"/>
      <c r="L149" s="13"/>
      <c r="M149" s="13"/>
      <c r="N149" s="13"/>
      <c r="O149" s="13"/>
      <c r="P149" s="13"/>
      <c r="Q149" s="13"/>
      <c r="R149" s="13"/>
    </row>
    <row r="150" spans="1:18" x14ac:dyDescent="0.35">
      <c r="A150" s="13"/>
      <c r="B150" s="13"/>
      <c r="C150" s="13"/>
      <c r="D150" s="13"/>
      <c r="E150" s="13"/>
      <c r="F150" s="13"/>
      <c r="G150" s="13"/>
      <c r="H150" s="13"/>
      <c r="I150" s="13"/>
      <c r="J150" s="13"/>
      <c r="K150" s="13"/>
      <c r="L150" s="13"/>
      <c r="M150" s="13"/>
      <c r="N150" s="13"/>
      <c r="O150" s="13"/>
      <c r="P150" s="13"/>
      <c r="Q150" s="13"/>
      <c r="R150" s="13"/>
    </row>
    <row r="151" spans="1:18" x14ac:dyDescent="0.35">
      <c r="A151" s="13"/>
      <c r="B151" s="13"/>
      <c r="C151" s="13"/>
      <c r="D151" s="13"/>
      <c r="E151" s="13"/>
      <c r="F151" s="13"/>
      <c r="G151" s="13"/>
      <c r="H151" s="13"/>
      <c r="I151" s="13"/>
      <c r="J151" s="13"/>
      <c r="K151" s="13"/>
      <c r="L151" s="13"/>
      <c r="M151" s="13"/>
      <c r="N151" s="13"/>
      <c r="O151" s="13"/>
      <c r="P151" s="13"/>
      <c r="Q151" s="13"/>
      <c r="R151" s="13"/>
    </row>
    <row r="152" spans="1:18" x14ac:dyDescent="0.35">
      <c r="A152" s="13"/>
      <c r="B152" s="13"/>
      <c r="C152" s="13"/>
      <c r="D152" s="13"/>
      <c r="E152" s="13"/>
      <c r="F152" s="13"/>
      <c r="G152" s="13"/>
      <c r="H152" s="13"/>
      <c r="I152" s="13"/>
      <c r="J152" s="13"/>
      <c r="K152" s="13"/>
      <c r="L152" s="13"/>
      <c r="M152" s="13"/>
      <c r="N152" s="13"/>
      <c r="O152" s="13"/>
      <c r="P152" s="13"/>
      <c r="Q152" s="13"/>
      <c r="R152" s="13"/>
    </row>
    <row r="153" spans="1:18" x14ac:dyDescent="0.35">
      <c r="A153" s="13"/>
      <c r="B153" s="13"/>
      <c r="C153" s="13"/>
      <c r="D153" s="13"/>
      <c r="E153" s="13"/>
      <c r="F153" s="13"/>
      <c r="G153" s="13"/>
      <c r="H153" s="13"/>
      <c r="I153" s="13"/>
      <c r="J153" s="13"/>
      <c r="K153" s="13"/>
      <c r="L153" s="13"/>
      <c r="M153" s="13"/>
      <c r="N153" s="13"/>
      <c r="O153" s="13"/>
      <c r="P153" s="13"/>
      <c r="Q153" s="13"/>
      <c r="R153" s="13"/>
    </row>
    <row r="154" spans="1:18" x14ac:dyDescent="0.35">
      <c r="A154" s="13"/>
      <c r="B154" s="13"/>
      <c r="C154" s="13"/>
      <c r="D154" s="13"/>
      <c r="E154" s="13"/>
      <c r="F154" s="13"/>
      <c r="G154" s="13"/>
      <c r="H154" s="13"/>
      <c r="I154" s="13"/>
      <c r="J154" s="13"/>
      <c r="K154" s="13"/>
      <c r="L154" s="13"/>
      <c r="M154" s="13"/>
      <c r="N154" s="13"/>
      <c r="O154" s="13"/>
      <c r="P154" s="13"/>
      <c r="Q154" s="13"/>
      <c r="R154" s="13"/>
    </row>
    <row r="155" spans="1:18" x14ac:dyDescent="0.35">
      <c r="A155" s="13"/>
      <c r="B155" s="13"/>
      <c r="C155" s="13"/>
      <c r="D155" s="13"/>
      <c r="E155" s="13"/>
      <c r="F155" s="13"/>
      <c r="G155" s="13"/>
      <c r="H155" s="13"/>
      <c r="I155" s="13"/>
      <c r="J155" s="13"/>
      <c r="K155" s="13"/>
      <c r="L155" s="13"/>
      <c r="M155" s="13"/>
      <c r="N155" s="13"/>
      <c r="O155" s="13"/>
      <c r="P155" s="13"/>
      <c r="Q155" s="13"/>
      <c r="R155" s="13"/>
    </row>
    <row r="156" spans="1:18" x14ac:dyDescent="0.35">
      <c r="A156" s="13"/>
      <c r="B156" s="13"/>
      <c r="C156" s="13"/>
      <c r="D156" s="13"/>
      <c r="E156" s="13"/>
      <c r="F156" s="13"/>
      <c r="G156" s="13"/>
      <c r="H156" s="13"/>
      <c r="I156" s="13"/>
      <c r="J156" s="13"/>
      <c r="K156" s="13"/>
      <c r="L156" s="13"/>
      <c r="M156" s="13"/>
      <c r="N156" s="13"/>
      <c r="O156" s="13"/>
      <c r="P156" s="13"/>
      <c r="Q156" s="13"/>
      <c r="R156" s="13"/>
    </row>
    <row r="157" spans="1:18" x14ac:dyDescent="0.35">
      <c r="A157" s="13"/>
      <c r="B157" s="13"/>
      <c r="C157" s="13"/>
      <c r="D157" s="13"/>
      <c r="E157" s="13"/>
      <c r="F157" s="13"/>
      <c r="G157" s="13"/>
      <c r="H157" s="13"/>
      <c r="I157" s="13"/>
      <c r="J157" s="13"/>
      <c r="K157" s="13"/>
      <c r="L157" s="13"/>
      <c r="M157" s="13"/>
      <c r="N157" s="13"/>
      <c r="O157" s="13"/>
      <c r="P157" s="13"/>
      <c r="Q157" s="13"/>
      <c r="R157" s="13"/>
    </row>
    <row r="158" spans="1:18" x14ac:dyDescent="0.35">
      <c r="A158" s="13"/>
      <c r="B158" s="13"/>
      <c r="C158" s="13"/>
      <c r="D158" s="13"/>
      <c r="E158" s="13"/>
      <c r="F158" s="13"/>
      <c r="G158" s="13"/>
      <c r="H158" s="13"/>
      <c r="I158" s="13"/>
      <c r="J158" s="13"/>
      <c r="K158" s="13"/>
      <c r="L158" s="13"/>
      <c r="M158" s="13"/>
      <c r="N158" s="13"/>
      <c r="O158" s="13"/>
      <c r="P158" s="13"/>
      <c r="Q158" s="13"/>
      <c r="R158" s="13"/>
    </row>
    <row r="159" spans="1:18" x14ac:dyDescent="0.35">
      <c r="A159" s="13"/>
      <c r="B159" s="13"/>
      <c r="C159" s="13"/>
      <c r="D159" s="13"/>
      <c r="E159" s="13"/>
      <c r="F159" s="13"/>
      <c r="G159" s="13"/>
      <c r="H159" s="13"/>
      <c r="I159" s="13"/>
      <c r="J159" s="13"/>
      <c r="K159" s="13"/>
      <c r="L159" s="13"/>
      <c r="M159" s="13"/>
      <c r="N159" s="13"/>
      <c r="O159" s="13"/>
      <c r="P159" s="13"/>
      <c r="Q159" s="13"/>
      <c r="R159" s="13"/>
    </row>
    <row r="160" spans="1:18" x14ac:dyDescent="0.35">
      <c r="A160" s="13"/>
      <c r="B160" s="13"/>
      <c r="C160" s="13"/>
      <c r="D160" s="13"/>
      <c r="E160" s="13"/>
      <c r="F160" s="13"/>
      <c r="G160" s="13"/>
      <c r="H160" s="13"/>
      <c r="I160" s="13"/>
      <c r="J160" s="13"/>
      <c r="K160" s="13"/>
      <c r="L160" s="13"/>
      <c r="M160" s="13"/>
      <c r="N160" s="13"/>
      <c r="O160" s="13"/>
      <c r="P160" s="13"/>
      <c r="Q160" s="13"/>
      <c r="R160" s="13"/>
    </row>
    <row r="161" spans="1:18" x14ac:dyDescent="0.35">
      <c r="A161" s="13"/>
      <c r="B161" s="13"/>
      <c r="C161" s="13"/>
      <c r="D161" s="13"/>
      <c r="E161" s="13"/>
      <c r="F161" s="13"/>
      <c r="G161" s="13"/>
      <c r="H161" s="13"/>
      <c r="I161" s="13"/>
      <c r="J161" s="13"/>
      <c r="K161" s="13"/>
      <c r="L161" s="13"/>
      <c r="M161" s="13"/>
      <c r="N161" s="13"/>
      <c r="O161" s="13"/>
      <c r="P161" s="13"/>
      <c r="Q161" s="13"/>
      <c r="R161" s="13"/>
    </row>
    <row r="162" spans="1:18" x14ac:dyDescent="0.35">
      <c r="A162" s="13"/>
      <c r="B162" s="13"/>
      <c r="C162" s="13"/>
      <c r="D162" s="13"/>
      <c r="E162" s="13"/>
      <c r="F162" s="13"/>
      <c r="G162" s="13"/>
      <c r="H162" s="13"/>
      <c r="I162" s="13"/>
      <c r="J162" s="13"/>
      <c r="K162" s="13"/>
      <c r="L162" s="13"/>
      <c r="M162" s="13"/>
      <c r="N162" s="13"/>
      <c r="O162" s="13"/>
      <c r="P162" s="13"/>
      <c r="Q162" s="13"/>
      <c r="R162" s="13"/>
    </row>
    <row r="163" spans="1:18" x14ac:dyDescent="0.35">
      <c r="A163" s="13"/>
      <c r="B163" s="13"/>
      <c r="C163" s="13"/>
      <c r="D163" s="13"/>
      <c r="E163" s="13"/>
      <c r="F163" s="13"/>
      <c r="G163" s="13"/>
      <c r="H163" s="13"/>
      <c r="I163" s="13"/>
      <c r="J163" s="13"/>
      <c r="K163" s="13"/>
      <c r="L163" s="13"/>
      <c r="M163" s="13"/>
      <c r="N163" s="13"/>
      <c r="O163" s="13"/>
      <c r="P163" s="13"/>
      <c r="Q163" s="13"/>
      <c r="R163" s="13"/>
    </row>
    <row r="164" spans="1:18" x14ac:dyDescent="0.35">
      <c r="A164" s="13"/>
      <c r="B164" s="13"/>
      <c r="C164" s="13"/>
      <c r="D164" s="13"/>
      <c r="E164" s="13"/>
      <c r="F164" s="13"/>
      <c r="G164" s="13"/>
      <c r="H164" s="13"/>
      <c r="I164" s="13"/>
      <c r="J164" s="13"/>
      <c r="K164" s="13"/>
      <c r="L164" s="13"/>
      <c r="M164" s="13"/>
      <c r="N164" s="13"/>
      <c r="O164" s="13"/>
      <c r="P164" s="13"/>
      <c r="Q164" s="13"/>
      <c r="R164" s="13"/>
    </row>
    <row r="165" spans="1:18" x14ac:dyDescent="0.35">
      <c r="A165" s="13"/>
      <c r="B165" s="13"/>
      <c r="C165" s="13"/>
      <c r="D165" s="13"/>
      <c r="E165" s="13"/>
      <c r="F165" s="13"/>
      <c r="G165" s="13"/>
      <c r="H165" s="13"/>
      <c r="I165" s="13"/>
      <c r="J165" s="13"/>
      <c r="K165" s="13"/>
      <c r="L165" s="13"/>
      <c r="M165" s="13"/>
      <c r="N165" s="13"/>
      <c r="O165" s="13"/>
      <c r="P165" s="13"/>
      <c r="Q165" s="13"/>
      <c r="R165" s="13"/>
    </row>
    <row r="166" spans="1:18" x14ac:dyDescent="0.35">
      <c r="A166" s="13"/>
      <c r="B166" s="13"/>
      <c r="C166" s="13"/>
      <c r="D166" s="13"/>
      <c r="E166" s="13"/>
      <c r="F166" s="13"/>
      <c r="G166" s="13"/>
      <c r="H166" s="13"/>
      <c r="I166" s="13"/>
      <c r="J166" s="13"/>
      <c r="K166" s="13"/>
      <c r="L166" s="13"/>
      <c r="M166" s="13"/>
      <c r="N166" s="13"/>
      <c r="O166" s="13"/>
      <c r="P166" s="13"/>
      <c r="Q166" s="13"/>
      <c r="R166" s="13"/>
    </row>
    <row r="167" spans="1:18" x14ac:dyDescent="0.35">
      <c r="A167" s="13"/>
      <c r="B167" s="13"/>
      <c r="C167" s="13"/>
      <c r="D167" s="13"/>
      <c r="E167" s="13"/>
      <c r="F167" s="13"/>
      <c r="G167" s="13"/>
      <c r="H167" s="13"/>
      <c r="I167" s="13"/>
      <c r="J167" s="13"/>
      <c r="K167" s="13"/>
      <c r="L167" s="13"/>
      <c r="M167" s="13"/>
      <c r="N167" s="13"/>
      <c r="O167" s="13"/>
      <c r="P167" s="13"/>
      <c r="Q167" s="13"/>
      <c r="R167" s="13"/>
    </row>
    <row r="168" spans="1:18" x14ac:dyDescent="0.35">
      <c r="A168" s="13"/>
      <c r="B168" s="13"/>
      <c r="C168" s="13"/>
      <c r="D168" s="13"/>
      <c r="E168" s="13"/>
      <c r="F168" s="13"/>
      <c r="G168" s="13"/>
      <c r="H168" s="13"/>
      <c r="I168" s="13"/>
      <c r="J168" s="13"/>
      <c r="K168" s="13"/>
      <c r="L168" s="13"/>
      <c r="M168" s="13"/>
      <c r="N168" s="13"/>
      <c r="O168" s="13"/>
      <c r="P168" s="13"/>
      <c r="Q168" s="13"/>
      <c r="R168" s="13"/>
    </row>
    <row r="169" spans="1:18" x14ac:dyDescent="0.35">
      <c r="A169" s="13"/>
      <c r="B169" s="13"/>
      <c r="C169" s="13"/>
      <c r="D169" s="13"/>
      <c r="E169" s="13"/>
      <c r="F169" s="13"/>
      <c r="G169" s="13"/>
      <c r="H169" s="13"/>
      <c r="I169" s="13"/>
      <c r="J169" s="13"/>
      <c r="K169" s="13"/>
      <c r="L169" s="13"/>
      <c r="M169" s="13"/>
      <c r="N169" s="13"/>
      <c r="O169" s="13"/>
      <c r="P169" s="13"/>
      <c r="Q169" s="13"/>
      <c r="R169" s="13"/>
    </row>
    <row r="170" spans="1:18" x14ac:dyDescent="0.35">
      <c r="A170" s="13"/>
      <c r="B170" s="13"/>
      <c r="C170" s="13"/>
      <c r="D170" s="13"/>
      <c r="E170" s="13"/>
      <c r="F170" s="13"/>
      <c r="G170" s="13"/>
      <c r="H170" s="13"/>
      <c r="I170" s="13"/>
      <c r="J170" s="13"/>
      <c r="K170" s="13"/>
      <c r="L170" s="13"/>
      <c r="M170" s="13"/>
      <c r="N170" s="13"/>
      <c r="O170" s="13"/>
      <c r="P170" s="13"/>
      <c r="Q170" s="13"/>
      <c r="R170" s="13"/>
    </row>
    <row r="171" spans="1:18" x14ac:dyDescent="0.35">
      <c r="A171" s="13"/>
      <c r="B171" s="13"/>
      <c r="C171" s="13"/>
      <c r="D171" s="13"/>
      <c r="E171" s="13"/>
      <c r="F171" s="13"/>
      <c r="G171" s="13"/>
      <c r="H171" s="13"/>
      <c r="I171" s="13"/>
      <c r="J171" s="13"/>
      <c r="K171" s="13"/>
      <c r="L171" s="13"/>
      <c r="M171" s="13"/>
      <c r="N171" s="13"/>
      <c r="O171" s="13"/>
      <c r="P171" s="13"/>
      <c r="Q171" s="13"/>
      <c r="R171" s="13"/>
    </row>
    <row r="172" spans="1:18" x14ac:dyDescent="0.35">
      <c r="A172" s="13"/>
      <c r="B172" s="13"/>
      <c r="C172" s="13"/>
      <c r="D172" s="13"/>
      <c r="E172" s="13"/>
      <c r="F172" s="13"/>
      <c r="G172" s="13"/>
      <c r="H172" s="13"/>
      <c r="I172" s="13"/>
      <c r="J172" s="13"/>
      <c r="K172" s="13"/>
      <c r="L172" s="13"/>
      <c r="M172" s="13"/>
      <c r="N172" s="13"/>
      <c r="O172" s="13"/>
      <c r="P172" s="13"/>
      <c r="Q172" s="13"/>
      <c r="R172" s="13"/>
    </row>
    <row r="173" spans="1:18" x14ac:dyDescent="0.35">
      <c r="A173" s="13"/>
      <c r="B173" s="13"/>
      <c r="C173" s="13"/>
      <c r="D173" s="13"/>
      <c r="E173" s="13"/>
      <c r="F173" s="13"/>
      <c r="G173" s="13"/>
      <c r="H173" s="13"/>
      <c r="I173" s="13"/>
      <c r="J173" s="13"/>
      <c r="K173" s="13"/>
      <c r="L173" s="13"/>
      <c r="M173" s="13"/>
      <c r="N173" s="13"/>
      <c r="O173" s="13"/>
      <c r="P173" s="13"/>
      <c r="Q173" s="13"/>
      <c r="R173" s="13"/>
    </row>
    <row r="174" spans="1:18" x14ac:dyDescent="0.35">
      <c r="A174" s="13"/>
      <c r="B174" s="13"/>
      <c r="C174" s="13"/>
      <c r="D174" s="13"/>
      <c r="E174" s="13"/>
      <c r="F174" s="13"/>
      <c r="G174" s="13"/>
      <c r="H174" s="13"/>
      <c r="I174" s="13"/>
      <c r="J174" s="13"/>
      <c r="K174" s="13"/>
      <c r="L174" s="13"/>
      <c r="M174" s="13"/>
      <c r="N174" s="13"/>
      <c r="O174" s="13"/>
      <c r="P174" s="13"/>
      <c r="Q174" s="13"/>
      <c r="R174" s="13"/>
    </row>
    <row r="175" spans="1:18" x14ac:dyDescent="0.35">
      <c r="A175" s="13"/>
      <c r="B175" s="13"/>
      <c r="C175" s="13"/>
      <c r="D175" s="13"/>
      <c r="E175" s="13"/>
      <c r="F175" s="13"/>
      <c r="G175" s="13"/>
      <c r="H175" s="13"/>
      <c r="I175" s="13"/>
      <c r="J175" s="13"/>
      <c r="K175" s="13"/>
      <c r="L175" s="13"/>
      <c r="M175" s="13"/>
      <c r="N175" s="13"/>
      <c r="O175" s="13"/>
      <c r="P175" s="13"/>
      <c r="Q175" s="13"/>
      <c r="R175" s="13"/>
    </row>
    <row r="176" spans="1:18" x14ac:dyDescent="0.35">
      <c r="A176" s="13"/>
      <c r="B176" s="13"/>
      <c r="C176" s="13"/>
      <c r="D176" s="13"/>
      <c r="E176" s="13"/>
      <c r="F176" s="13"/>
      <c r="G176" s="13"/>
      <c r="H176" s="13"/>
      <c r="I176" s="13"/>
      <c r="J176" s="13"/>
      <c r="K176" s="13"/>
      <c r="L176" s="13"/>
      <c r="M176" s="13"/>
      <c r="N176" s="13"/>
      <c r="O176" s="13"/>
      <c r="P176" s="13"/>
      <c r="Q176" s="13"/>
      <c r="R176" s="13"/>
    </row>
    <row r="177" spans="1:18" x14ac:dyDescent="0.35">
      <c r="A177" s="13"/>
      <c r="B177" s="13"/>
      <c r="C177" s="13"/>
      <c r="D177" s="13"/>
      <c r="E177" s="13"/>
      <c r="F177" s="13"/>
      <c r="G177" s="13"/>
      <c r="H177" s="13"/>
      <c r="I177" s="13"/>
      <c r="J177" s="13"/>
      <c r="K177" s="13"/>
      <c r="L177" s="13"/>
      <c r="M177" s="13"/>
      <c r="N177" s="13"/>
      <c r="O177" s="13"/>
      <c r="P177" s="13"/>
      <c r="Q177" s="13"/>
      <c r="R177" s="13"/>
    </row>
    <row r="178" spans="1:18" x14ac:dyDescent="0.35">
      <c r="A178" s="13"/>
      <c r="B178" s="13"/>
      <c r="C178" s="13"/>
      <c r="D178" s="13"/>
      <c r="E178" s="13"/>
      <c r="F178" s="13"/>
      <c r="G178" s="13"/>
      <c r="H178" s="13"/>
      <c r="I178" s="13"/>
      <c r="J178" s="13"/>
      <c r="K178" s="13"/>
      <c r="L178" s="13"/>
      <c r="M178" s="13"/>
      <c r="N178" s="13"/>
      <c r="O178" s="13"/>
      <c r="P178" s="13"/>
      <c r="Q178" s="13"/>
      <c r="R178" s="13"/>
    </row>
    <row r="179" spans="1:18" x14ac:dyDescent="0.35">
      <c r="A179" s="13"/>
      <c r="B179" s="13"/>
      <c r="C179" s="13"/>
      <c r="D179" s="13"/>
      <c r="E179" s="13"/>
      <c r="F179" s="13"/>
      <c r="G179" s="13"/>
      <c r="H179" s="13"/>
      <c r="I179" s="13"/>
      <c r="J179" s="13"/>
      <c r="K179" s="13"/>
      <c r="L179" s="13"/>
      <c r="M179" s="13"/>
      <c r="N179" s="13"/>
      <c r="O179" s="13"/>
      <c r="P179" s="13"/>
      <c r="Q179" s="13"/>
      <c r="R179" s="13"/>
    </row>
    <row r="180" spans="1:18" x14ac:dyDescent="0.35">
      <c r="A180" s="13"/>
      <c r="B180" s="13"/>
      <c r="C180" s="13"/>
      <c r="D180" s="13"/>
      <c r="E180" s="13"/>
      <c r="F180" s="13"/>
      <c r="G180" s="13"/>
      <c r="H180" s="13"/>
      <c r="I180" s="13"/>
      <c r="J180" s="13"/>
      <c r="K180" s="13"/>
      <c r="L180" s="13"/>
      <c r="M180" s="13"/>
      <c r="N180" s="13"/>
      <c r="O180" s="13"/>
      <c r="P180" s="13"/>
      <c r="Q180" s="13"/>
      <c r="R180" s="13"/>
    </row>
    <row r="181" spans="1:18" x14ac:dyDescent="0.35">
      <c r="A181" s="13"/>
      <c r="B181" s="13"/>
      <c r="C181" s="13"/>
      <c r="D181" s="13"/>
      <c r="E181" s="13"/>
      <c r="F181" s="13"/>
      <c r="G181" s="13"/>
      <c r="H181" s="13"/>
      <c r="I181" s="13"/>
      <c r="J181" s="13"/>
      <c r="K181" s="13"/>
      <c r="L181" s="13"/>
      <c r="M181" s="13"/>
      <c r="N181" s="13"/>
      <c r="O181" s="13"/>
      <c r="P181" s="13"/>
      <c r="Q181" s="13"/>
      <c r="R181" s="13"/>
    </row>
    <row r="182" spans="1:18" x14ac:dyDescent="0.35">
      <c r="A182" s="13"/>
      <c r="B182" s="13"/>
      <c r="C182" s="13"/>
      <c r="D182" s="13"/>
      <c r="E182" s="13"/>
      <c r="F182" s="13"/>
      <c r="G182" s="13"/>
      <c r="H182" s="13"/>
      <c r="I182" s="13"/>
      <c r="J182" s="13"/>
      <c r="K182" s="13"/>
      <c r="L182" s="13"/>
      <c r="M182" s="13"/>
      <c r="N182" s="13"/>
      <c r="O182" s="13"/>
      <c r="P182" s="13"/>
      <c r="Q182" s="13"/>
      <c r="R182" s="13"/>
    </row>
    <row r="183" spans="1:18" x14ac:dyDescent="0.35">
      <c r="A183" s="13"/>
      <c r="B183" s="13"/>
      <c r="C183" s="13"/>
      <c r="D183" s="13"/>
      <c r="E183" s="13"/>
      <c r="F183" s="13"/>
      <c r="G183" s="13"/>
      <c r="H183" s="13"/>
      <c r="I183" s="13"/>
      <c r="J183" s="13"/>
      <c r="K183" s="13"/>
      <c r="L183" s="13"/>
      <c r="M183" s="13"/>
      <c r="N183" s="13"/>
      <c r="O183" s="13"/>
      <c r="P183" s="13"/>
      <c r="Q183" s="13"/>
      <c r="R183" s="13"/>
    </row>
    <row r="184" spans="1:18" x14ac:dyDescent="0.35">
      <c r="A184" s="13"/>
      <c r="B184" s="13"/>
      <c r="C184" s="13"/>
      <c r="D184" s="13"/>
      <c r="E184" s="13"/>
      <c r="F184" s="13"/>
      <c r="G184" s="13"/>
      <c r="H184" s="13"/>
      <c r="I184" s="13"/>
      <c r="J184" s="13"/>
      <c r="K184" s="13"/>
      <c r="L184" s="13"/>
      <c r="M184" s="13"/>
      <c r="N184" s="13"/>
      <c r="O184" s="13"/>
      <c r="P184" s="13"/>
      <c r="Q184" s="13"/>
      <c r="R184" s="13"/>
    </row>
    <row r="185" spans="1:18" x14ac:dyDescent="0.35">
      <c r="A185" s="13"/>
      <c r="B185" s="13"/>
      <c r="C185" s="13"/>
      <c r="D185" s="13"/>
      <c r="E185" s="13"/>
      <c r="F185" s="13"/>
      <c r="G185" s="13"/>
      <c r="H185" s="13"/>
      <c r="I185" s="13"/>
      <c r="J185" s="13"/>
      <c r="K185" s="13"/>
      <c r="L185" s="13"/>
      <c r="M185" s="13"/>
      <c r="N185" s="13"/>
      <c r="O185" s="13"/>
      <c r="P185" s="13"/>
      <c r="Q185" s="13"/>
      <c r="R185" s="13"/>
    </row>
    <row r="186" spans="1:18" x14ac:dyDescent="0.35">
      <c r="A186" s="13"/>
      <c r="B186" s="13"/>
      <c r="C186" s="13"/>
      <c r="D186" s="13"/>
      <c r="E186" s="13"/>
      <c r="F186" s="13"/>
      <c r="G186" s="13"/>
      <c r="H186" s="13"/>
      <c r="I186" s="13"/>
      <c r="J186" s="13"/>
      <c r="K186" s="13"/>
      <c r="L186" s="13"/>
      <c r="M186" s="13"/>
      <c r="N186" s="13"/>
      <c r="O186" s="13"/>
      <c r="P186" s="13"/>
      <c r="Q186" s="13"/>
      <c r="R186" s="13"/>
    </row>
    <row r="187" spans="1:18" x14ac:dyDescent="0.35">
      <c r="A187" s="13"/>
      <c r="B187" s="13"/>
      <c r="C187" s="13"/>
      <c r="D187" s="13"/>
      <c r="E187" s="13"/>
      <c r="F187" s="13"/>
      <c r="G187" s="13"/>
      <c r="H187" s="13"/>
      <c r="I187" s="13"/>
      <c r="J187" s="13"/>
      <c r="K187" s="13"/>
      <c r="L187" s="13"/>
      <c r="M187" s="13"/>
      <c r="N187" s="13"/>
      <c r="O187" s="13"/>
      <c r="P187" s="13"/>
      <c r="Q187" s="13"/>
      <c r="R187" s="13"/>
    </row>
    <row r="188" spans="1:18" x14ac:dyDescent="0.35">
      <c r="A188" s="13"/>
      <c r="B188" s="13"/>
      <c r="C188" s="13"/>
      <c r="D188" s="13"/>
      <c r="E188" s="13"/>
      <c r="F188" s="13"/>
      <c r="G188" s="13"/>
      <c r="H188" s="13"/>
      <c r="I188" s="13"/>
      <c r="J188" s="13"/>
      <c r="K188" s="13"/>
      <c r="L188" s="13"/>
      <c r="M188" s="13"/>
      <c r="N188" s="13"/>
      <c r="O188" s="13"/>
      <c r="P188" s="13"/>
      <c r="Q188" s="13"/>
      <c r="R188" s="13"/>
    </row>
    <row r="189" spans="1:18" x14ac:dyDescent="0.35">
      <c r="A189" s="13"/>
      <c r="B189" s="13"/>
      <c r="C189" s="13"/>
      <c r="D189" s="13"/>
      <c r="E189" s="13"/>
      <c r="F189" s="13"/>
      <c r="G189" s="13"/>
      <c r="H189" s="13"/>
      <c r="I189" s="13"/>
      <c r="J189" s="13"/>
      <c r="K189" s="13"/>
      <c r="L189" s="13"/>
      <c r="M189" s="13"/>
      <c r="N189" s="13"/>
      <c r="O189" s="13"/>
      <c r="P189" s="13"/>
      <c r="Q189" s="13"/>
      <c r="R189" s="13"/>
    </row>
    <row r="190" spans="1:18" x14ac:dyDescent="0.35">
      <c r="A190" s="13"/>
      <c r="B190" s="13"/>
      <c r="C190" s="13"/>
      <c r="D190" s="13"/>
      <c r="E190" s="13"/>
      <c r="F190" s="13"/>
      <c r="G190" s="13"/>
      <c r="H190" s="13"/>
      <c r="I190" s="13"/>
      <c r="J190" s="13"/>
      <c r="K190" s="13"/>
      <c r="L190" s="13"/>
      <c r="M190" s="13"/>
      <c r="N190" s="13"/>
      <c r="O190" s="13"/>
      <c r="P190" s="13"/>
      <c r="Q190" s="13"/>
      <c r="R190" s="13"/>
    </row>
    <row r="191" spans="1:18" x14ac:dyDescent="0.35">
      <c r="A191" s="13"/>
      <c r="B191" s="13"/>
      <c r="C191" s="13"/>
      <c r="D191" s="13"/>
      <c r="E191" s="13"/>
      <c r="F191" s="13"/>
      <c r="G191" s="13"/>
      <c r="H191" s="13"/>
      <c r="I191" s="13"/>
      <c r="J191" s="13"/>
      <c r="K191" s="13"/>
      <c r="L191" s="13"/>
      <c r="M191" s="13"/>
      <c r="N191" s="13"/>
      <c r="O191" s="13"/>
      <c r="P191" s="13"/>
      <c r="Q191" s="13"/>
      <c r="R191" s="13"/>
    </row>
    <row r="192" spans="1:18" x14ac:dyDescent="0.35">
      <c r="A192" s="13"/>
      <c r="B192" s="13"/>
      <c r="C192" s="13"/>
      <c r="D192" s="13"/>
      <c r="E192" s="13"/>
      <c r="F192" s="13"/>
      <c r="G192" s="13"/>
      <c r="H192" s="13"/>
      <c r="I192" s="13"/>
      <c r="J192" s="13"/>
      <c r="K192" s="13"/>
      <c r="L192" s="13"/>
      <c r="M192" s="13"/>
      <c r="N192" s="13"/>
      <c r="O192" s="13"/>
      <c r="P192" s="13"/>
      <c r="Q192" s="13"/>
      <c r="R192" s="13"/>
    </row>
    <row r="193" spans="1:18" x14ac:dyDescent="0.35">
      <c r="A193" s="13"/>
      <c r="B193" s="13"/>
      <c r="C193" s="13"/>
      <c r="D193" s="13"/>
      <c r="E193" s="13"/>
      <c r="F193" s="13"/>
      <c r="G193" s="13"/>
      <c r="H193" s="13"/>
      <c r="I193" s="13"/>
      <c r="J193" s="13"/>
      <c r="K193" s="13"/>
      <c r="L193" s="13"/>
      <c r="M193" s="13"/>
      <c r="N193" s="13"/>
      <c r="O193" s="13"/>
      <c r="P193" s="13"/>
      <c r="Q193" s="13"/>
      <c r="R193" s="13"/>
    </row>
    <row r="194" spans="1:18" x14ac:dyDescent="0.35">
      <c r="A194" s="13"/>
      <c r="B194" s="13"/>
      <c r="C194" s="13"/>
      <c r="D194" s="13"/>
      <c r="E194" s="13"/>
      <c r="F194" s="13"/>
      <c r="G194" s="13"/>
      <c r="H194" s="13"/>
      <c r="I194" s="13"/>
      <c r="J194" s="13"/>
      <c r="K194" s="13"/>
      <c r="L194" s="13"/>
      <c r="M194" s="13"/>
      <c r="N194" s="13"/>
      <c r="O194" s="13"/>
      <c r="P194" s="13"/>
      <c r="Q194" s="13"/>
      <c r="R194" s="13"/>
    </row>
    <row r="195" spans="1:18" x14ac:dyDescent="0.35">
      <c r="A195" s="13"/>
      <c r="B195" s="13"/>
      <c r="C195" s="13"/>
      <c r="D195" s="13"/>
      <c r="E195" s="13"/>
      <c r="F195" s="13"/>
      <c r="G195" s="13"/>
      <c r="H195" s="13"/>
      <c r="I195" s="13"/>
      <c r="J195" s="13"/>
      <c r="K195" s="13"/>
      <c r="L195" s="13"/>
      <c r="M195" s="13"/>
      <c r="N195" s="13"/>
      <c r="O195" s="13"/>
      <c r="P195" s="13"/>
      <c r="Q195" s="13"/>
      <c r="R195" s="13"/>
    </row>
    <row r="196" spans="1:18" x14ac:dyDescent="0.35">
      <c r="A196" s="13"/>
      <c r="B196" s="13"/>
      <c r="C196" s="13"/>
      <c r="D196" s="13"/>
      <c r="E196" s="13"/>
      <c r="F196" s="13"/>
      <c r="G196" s="13"/>
      <c r="H196" s="13"/>
      <c r="I196" s="13"/>
      <c r="J196" s="13"/>
      <c r="K196" s="13"/>
      <c r="L196" s="13"/>
      <c r="M196" s="13"/>
      <c r="N196" s="13"/>
      <c r="O196" s="13"/>
      <c r="P196" s="13"/>
      <c r="Q196" s="13"/>
      <c r="R196" s="13"/>
    </row>
    <row r="197" spans="1:18" x14ac:dyDescent="0.35">
      <c r="A197" s="13"/>
      <c r="B197" s="13"/>
      <c r="C197" s="13"/>
      <c r="D197" s="13"/>
      <c r="E197" s="13"/>
      <c r="F197" s="13"/>
      <c r="G197" s="13"/>
      <c r="H197" s="13"/>
      <c r="I197" s="13"/>
      <c r="J197" s="13"/>
      <c r="K197" s="13"/>
      <c r="L197" s="13"/>
      <c r="M197" s="13"/>
      <c r="N197" s="13"/>
      <c r="O197" s="13"/>
      <c r="P197" s="13"/>
      <c r="Q197" s="13"/>
      <c r="R197" s="13"/>
    </row>
    <row r="198" spans="1:18" x14ac:dyDescent="0.35">
      <c r="A198" s="13"/>
      <c r="B198" s="13"/>
      <c r="C198" s="13"/>
      <c r="D198" s="13"/>
      <c r="E198" s="13"/>
      <c r="F198" s="13"/>
      <c r="G198" s="13"/>
      <c r="H198" s="13"/>
      <c r="I198" s="13"/>
      <c r="J198" s="13"/>
      <c r="K198" s="13"/>
      <c r="L198" s="13"/>
      <c r="M198" s="13"/>
      <c r="N198" s="13"/>
      <c r="O198" s="13"/>
      <c r="P198" s="13"/>
      <c r="Q198" s="13"/>
      <c r="R198" s="13"/>
    </row>
    <row r="199" spans="1:18" x14ac:dyDescent="0.35">
      <c r="A199" s="13"/>
      <c r="B199" s="13"/>
      <c r="C199" s="13"/>
      <c r="D199" s="13"/>
      <c r="E199" s="13"/>
      <c r="F199" s="13"/>
      <c r="G199" s="13"/>
      <c r="H199" s="13"/>
      <c r="I199" s="13"/>
      <c r="J199" s="13"/>
      <c r="K199" s="13"/>
      <c r="L199" s="13"/>
      <c r="M199" s="13"/>
      <c r="N199" s="13"/>
      <c r="O199" s="13"/>
      <c r="P199" s="13"/>
      <c r="Q199" s="13"/>
      <c r="R199" s="13"/>
    </row>
    <row r="200" spans="1:18" x14ac:dyDescent="0.35">
      <c r="A200" s="13"/>
      <c r="B200" s="13"/>
      <c r="C200" s="13"/>
      <c r="D200" s="13"/>
      <c r="E200" s="13"/>
      <c r="F200" s="13"/>
      <c r="G200" s="13"/>
      <c r="H200" s="13"/>
      <c r="I200" s="13"/>
      <c r="J200" s="13"/>
      <c r="K200" s="13"/>
      <c r="L200" s="13"/>
      <c r="M200" s="13"/>
      <c r="N200" s="13"/>
      <c r="O200" s="13"/>
      <c r="P200" s="13"/>
      <c r="Q200" s="13"/>
      <c r="R200" s="13"/>
    </row>
    <row r="201" spans="1:18" x14ac:dyDescent="0.35">
      <c r="A201" s="13"/>
      <c r="B201" s="13"/>
      <c r="C201" s="13"/>
      <c r="D201" s="13"/>
      <c r="E201" s="13"/>
      <c r="F201" s="13"/>
      <c r="G201" s="13"/>
      <c r="H201" s="13"/>
      <c r="I201" s="13"/>
      <c r="J201" s="13"/>
      <c r="K201" s="13"/>
      <c r="L201" s="13"/>
      <c r="M201" s="13"/>
      <c r="N201" s="13"/>
      <c r="O201" s="13"/>
      <c r="P201" s="13"/>
      <c r="Q201" s="13"/>
      <c r="R201" s="13"/>
    </row>
    <row r="202" spans="1:18" x14ac:dyDescent="0.35">
      <c r="A202" s="13"/>
      <c r="B202" s="13"/>
      <c r="C202" s="13"/>
      <c r="D202" s="13"/>
      <c r="E202" s="13"/>
      <c r="F202" s="13"/>
      <c r="G202" s="13"/>
      <c r="H202" s="13"/>
      <c r="I202" s="13"/>
      <c r="J202" s="13"/>
      <c r="K202" s="13"/>
      <c r="L202" s="13"/>
      <c r="M202" s="13"/>
      <c r="N202" s="13"/>
      <c r="O202" s="13"/>
      <c r="P202" s="13"/>
      <c r="Q202" s="13"/>
      <c r="R202" s="13"/>
    </row>
    <row r="203" spans="1:18" x14ac:dyDescent="0.35">
      <c r="A203" s="13"/>
      <c r="B203" s="13"/>
      <c r="C203" s="13"/>
      <c r="D203" s="13"/>
      <c r="E203" s="13"/>
      <c r="F203" s="13"/>
      <c r="G203" s="13"/>
      <c r="H203" s="13"/>
      <c r="I203" s="13"/>
      <c r="J203" s="13"/>
      <c r="K203" s="13"/>
      <c r="L203" s="13"/>
      <c r="M203" s="13"/>
      <c r="N203" s="13"/>
      <c r="O203" s="13"/>
      <c r="P203" s="13"/>
      <c r="Q203" s="13"/>
      <c r="R203" s="13"/>
    </row>
    <row r="204" spans="1:18" x14ac:dyDescent="0.35">
      <c r="A204" s="13"/>
      <c r="B204" s="13"/>
      <c r="C204" s="13"/>
      <c r="D204" s="13"/>
      <c r="E204" s="13"/>
      <c r="F204" s="13"/>
      <c r="G204" s="13"/>
      <c r="H204" s="13"/>
      <c r="I204" s="13"/>
      <c r="J204" s="13"/>
      <c r="K204" s="13"/>
      <c r="L204" s="13"/>
      <c r="M204" s="13"/>
      <c r="N204" s="13"/>
      <c r="O204" s="13"/>
      <c r="P204" s="13"/>
      <c r="Q204" s="13"/>
      <c r="R204" s="13"/>
    </row>
    <row r="205" spans="1:18" x14ac:dyDescent="0.35">
      <c r="A205" s="13"/>
      <c r="B205" s="13"/>
      <c r="C205" s="13"/>
      <c r="D205" s="13"/>
      <c r="E205" s="13"/>
      <c r="F205" s="13"/>
      <c r="G205" s="13"/>
      <c r="H205" s="13"/>
      <c r="I205" s="13"/>
      <c r="J205" s="13"/>
      <c r="K205" s="13"/>
      <c r="L205" s="13"/>
      <c r="M205" s="13"/>
      <c r="N205" s="13"/>
      <c r="O205" s="13"/>
      <c r="P205" s="13"/>
      <c r="Q205" s="13"/>
      <c r="R205" s="13"/>
    </row>
    <row r="206" spans="1:18" x14ac:dyDescent="0.35">
      <c r="A206" s="13"/>
      <c r="B206" s="13"/>
      <c r="C206" s="13"/>
      <c r="D206" s="13"/>
      <c r="E206" s="13"/>
      <c r="F206" s="13"/>
      <c r="G206" s="13"/>
      <c r="H206" s="13"/>
      <c r="I206" s="13"/>
      <c r="J206" s="13"/>
      <c r="K206" s="13"/>
      <c r="L206" s="13"/>
      <c r="M206" s="13"/>
      <c r="N206" s="13"/>
      <c r="O206" s="13"/>
      <c r="P206" s="13"/>
      <c r="Q206" s="13"/>
      <c r="R206" s="13"/>
    </row>
    <row r="207" spans="1:18" x14ac:dyDescent="0.35">
      <c r="A207" s="13"/>
      <c r="B207" s="13"/>
      <c r="C207" s="13"/>
      <c r="D207" s="13"/>
      <c r="E207" s="13"/>
      <c r="F207" s="13"/>
      <c r="G207" s="13"/>
      <c r="H207" s="13"/>
      <c r="I207" s="13"/>
      <c r="J207" s="13"/>
      <c r="K207" s="13"/>
      <c r="L207" s="13"/>
      <c r="M207" s="13"/>
      <c r="N207" s="13"/>
      <c r="O207" s="13"/>
      <c r="P207" s="13"/>
      <c r="Q207" s="13"/>
      <c r="R207" s="13"/>
    </row>
    <row r="208" spans="1:18" x14ac:dyDescent="0.35">
      <c r="A208" s="13"/>
      <c r="B208" s="13"/>
      <c r="C208" s="13"/>
      <c r="D208" s="13"/>
      <c r="E208" s="13"/>
      <c r="F208" s="13"/>
      <c r="G208" s="13"/>
      <c r="H208" s="13"/>
      <c r="I208" s="13"/>
      <c r="J208" s="13"/>
      <c r="K208" s="13"/>
      <c r="L208" s="13"/>
      <c r="M208" s="13"/>
      <c r="N208" s="13"/>
      <c r="O208" s="13"/>
      <c r="P208" s="13"/>
      <c r="Q208" s="13"/>
      <c r="R208" s="13"/>
    </row>
    <row r="209" spans="1:18" x14ac:dyDescent="0.35">
      <c r="A209" s="13"/>
      <c r="B209" s="13"/>
      <c r="C209" s="13"/>
      <c r="D209" s="13"/>
      <c r="E209" s="13"/>
      <c r="F209" s="13"/>
      <c r="G209" s="13"/>
      <c r="H209" s="13"/>
      <c r="I209" s="13"/>
      <c r="J209" s="13"/>
      <c r="K209" s="13"/>
      <c r="L209" s="13"/>
      <c r="M209" s="13"/>
      <c r="N209" s="13"/>
      <c r="O209" s="13"/>
      <c r="P209" s="13"/>
      <c r="Q209" s="13"/>
      <c r="R209" s="13"/>
    </row>
    <row r="210" spans="1:18" x14ac:dyDescent="0.35">
      <c r="A210" s="13"/>
      <c r="B210" s="13"/>
      <c r="C210" s="13"/>
      <c r="D210" s="13"/>
      <c r="E210" s="13"/>
      <c r="F210" s="13"/>
      <c r="G210" s="13"/>
      <c r="H210" s="13"/>
      <c r="I210" s="13"/>
      <c r="J210" s="13"/>
      <c r="K210" s="13"/>
      <c r="L210" s="13"/>
      <c r="M210" s="13"/>
      <c r="N210" s="13"/>
      <c r="O210" s="13"/>
      <c r="P210" s="13"/>
      <c r="Q210" s="13"/>
      <c r="R210" s="13"/>
    </row>
    <row r="211" spans="1:18" x14ac:dyDescent="0.35">
      <c r="A211" s="13"/>
      <c r="B211" s="13"/>
      <c r="C211" s="13"/>
      <c r="D211" s="13"/>
      <c r="E211" s="13"/>
      <c r="F211" s="13"/>
      <c r="G211" s="13"/>
      <c r="H211" s="13"/>
      <c r="I211" s="13"/>
      <c r="J211" s="13"/>
      <c r="K211" s="13"/>
      <c r="L211" s="13"/>
      <c r="M211" s="13"/>
      <c r="N211" s="13"/>
      <c r="O211" s="13"/>
      <c r="P211" s="13"/>
      <c r="Q211" s="13"/>
      <c r="R211" s="13"/>
    </row>
    <row r="212" spans="1:18" x14ac:dyDescent="0.35">
      <c r="A212" s="13"/>
      <c r="B212" s="13"/>
      <c r="C212" s="13"/>
      <c r="D212" s="13"/>
      <c r="E212" s="13"/>
      <c r="F212" s="13"/>
      <c r="G212" s="13"/>
      <c r="H212" s="13"/>
      <c r="I212" s="13"/>
      <c r="J212" s="13"/>
      <c r="K212" s="13"/>
      <c r="L212" s="13"/>
      <c r="M212" s="13"/>
      <c r="N212" s="13"/>
      <c r="O212" s="13"/>
      <c r="P212" s="13"/>
      <c r="Q212" s="13"/>
      <c r="R212" s="13"/>
    </row>
    <row r="213" spans="1:18" x14ac:dyDescent="0.35">
      <c r="A213" s="13"/>
      <c r="B213" s="13"/>
      <c r="C213" s="13"/>
      <c r="D213" s="13"/>
      <c r="E213" s="13"/>
      <c r="F213" s="13"/>
      <c r="G213" s="13"/>
      <c r="H213" s="13"/>
      <c r="I213" s="13"/>
      <c r="J213" s="13"/>
      <c r="K213" s="13"/>
      <c r="L213" s="13"/>
      <c r="M213" s="13"/>
      <c r="N213" s="13"/>
      <c r="O213" s="13"/>
      <c r="P213" s="13"/>
      <c r="Q213" s="13"/>
      <c r="R213" s="13"/>
    </row>
    <row r="214" spans="1:18" x14ac:dyDescent="0.35">
      <c r="A214" s="13"/>
      <c r="B214" s="13"/>
      <c r="C214" s="13"/>
      <c r="D214" s="13"/>
      <c r="E214" s="13"/>
      <c r="F214" s="13"/>
      <c r="G214" s="13"/>
      <c r="H214" s="13"/>
      <c r="I214" s="13"/>
      <c r="J214" s="13"/>
      <c r="K214" s="13"/>
      <c r="L214" s="13"/>
      <c r="M214" s="13"/>
      <c r="N214" s="13"/>
      <c r="O214" s="13"/>
      <c r="P214" s="13"/>
      <c r="Q214" s="13"/>
      <c r="R214" s="13"/>
    </row>
    <row r="215" spans="1:18" x14ac:dyDescent="0.35">
      <c r="A215" s="13"/>
      <c r="B215" s="13"/>
      <c r="C215" s="13"/>
      <c r="D215" s="13"/>
      <c r="E215" s="13"/>
      <c r="F215" s="13"/>
      <c r="G215" s="13"/>
      <c r="H215" s="13"/>
      <c r="I215" s="13"/>
      <c r="J215" s="13"/>
      <c r="K215" s="13"/>
      <c r="L215" s="13"/>
      <c r="M215" s="13"/>
      <c r="N215" s="13"/>
      <c r="O215" s="13"/>
      <c r="P215" s="13"/>
      <c r="Q215" s="13"/>
      <c r="R215" s="13"/>
    </row>
    <row r="216" spans="1:18" x14ac:dyDescent="0.35">
      <c r="A216" s="13"/>
      <c r="B216" s="13"/>
      <c r="C216" s="13"/>
      <c r="D216" s="13"/>
      <c r="E216" s="13"/>
      <c r="F216" s="13"/>
      <c r="G216" s="13"/>
      <c r="H216" s="13"/>
      <c r="I216" s="13"/>
      <c r="J216" s="13"/>
      <c r="K216" s="13"/>
      <c r="L216" s="13"/>
      <c r="M216" s="13"/>
      <c r="N216" s="13"/>
      <c r="O216" s="13"/>
      <c r="P216" s="13"/>
      <c r="Q216" s="13"/>
      <c r="R216" s="13"/>
    </row>
    <row r="217" spans="1:18" x14ac:dyDescent="0.35">
      <c r="A217" s="13"/>
      <c r="B217" s="13"/>
      <c r="C217" s="13"/>
      <c r="D217" s="13"/>
      <c r="E217" s="13"/>
      <c r="F217" s="13"/>
      <c r="G217" s="13"/>
      <c r="H217" s="13"/>
      <c r="I217" s="13"/>
      <c r="J217" s="13"/>
      <c r="K217" s="13"/>
      <c r="L217" s="13"/>
      <c r="M217" s="13"/>
      <c r="N217" s="13"/>
      <c r="O217" s="13"/>
      <c r="P217" s="13"/>
      <c r="Q217" s="13"/>
      <c r="R217" s="13"/>
    </row>
    <row r="218" spans="1:18" x14ac:dyDescent="0.35">
      <c r="A218" s="13"/>
      <c r="B218" s="13"/>
      <c r="C218" s="13"/>
      <c r="D218" s="13"/>
      <c r="E218" s="13"/>
      <c r="F218" s="13"/>
      <c r="G218" s="13"/>
      <c r="H218" s="13"/>
      <c r="I218" s="13"/>
      <c r="J218" s="13"/>
      <c r="K218" s="13"/>
      <c r="L218" s="13"/>
      <c r="M218" s="13"/>
      <c r="N218" s="13"/>
      <c r="O218" s="13"/>
      <c r="P218" s="13"/>
      <c r="Q218" s="13"/>
      <c r="R218" s="13"/>
    </row>
    <row r="219" spans="1:18" x14ac:dyDescent="0.35">
      <c r="A219" s="13"/>
      <c r="B219" s="13"/>
      <c r="C219" s="13"/>
      <c r="D219" s="13"/>
      <c r="E219" s="13"/>
      <c r="F219" s="13"/>
      <c r="G219" s="13"/>
      <c r="H219" s="13"/>
      <c r="I219" s="13"/>
      <c r="J219" s="13"/>
      <c r="K219" s="13"/>
      <c r="L219" s="13"/>
      <c r="M219" s="13"/>
      <c r="N219" s="13"/>
      <c r="O219" s="13"/>
      <c r="P219" s="13"/>
      <c r="Q219" s="13"/>
      <c r="R219" s="13"/>
    </row>
    <row r="220" spans="1:18" x14ac:dyDescent="0.35">
      <c r="A220" s="13"/>
      <c r="B220" s="13"/>
      <c r="C220" s="13"/>
      <c r="D220" s="13"/>
      <c r="E220" s="13"/>
      <c r="F220" s="13"/>
      <c r="G220" s="13"/>
      <c r="H220" s="13"/>
      <c r="I220" s="13"/>
      <c r="J220" s="13"/>
      <c r="K220" s="13"/>
      <c r="L220" s="13"/>
      <c r="M220" s="13"/>
      <c r="N220" s="13"/>
      <c r="O220" s="13"/>
      <c r="P220" s="13"/>
      <c r="Q220" s="13"/>
      <c r="R220" s="13"/>
    </row>
    <row r="221" spans="1:18" x14ac:dyDescent="0.35">
      <c r="A221" s="13"/>
      <c r="B221" s="13"/>
      <c r="C221" s="13"/>
      <c r="D221" s="13"/>
      <c r="E221" s="13"/>
      <c r="F221" s="13"/>
      <c r="G221" s="13"/>
      <c r="H221" s="13"/>
      <c r="I221" s="13"/>
      <c r="J221" s="13"/>
      <c r="K221" s="13"/>
      <c r="L221" s="13"/>
      <c r="M221" s="13"/>
      <c r="N221" s="13"/>
      <c r="O221" s="13"/>
      <c r="P221" s="13"/>
      <c r="Q221" s="13"/>
      <c r="R221" s="13"/>
    </row>
    <row r="222" spans="1:18" x14ac:dyDescent="0.35">
      <c r="A222" s="13"/>
      <c r="B222" s="13"/>
      <c r="C222" s="13"/>
      <c r="D222" s="13"/>
      <c r="E222" s="13"/>
      <c r="F222" s="13"/>
      <c r="G222" s="13"/>
      <c r="H222" s="13"/>
      <c r="I222" s="13"/>
      <c r="J222" s="13"/>
      <c r="K222" s="13"/>
      <c r="L222" s="13"/>
      <c r="M222" s="13"/>
      <c r="N222" s="13"/>
      <c r="O222" s="13"/>
      <c r="P222" s="13"/>
      <c r="Q222" s="13"/>
      <c r="R222" s="13"/>
    </row>
    <row r="223" spans="1:18" x14ac:dyDescent="0.35">
      <c r="A223" s="13"/>
      <c r="B223" s="13"/>
      <c r="C223" s="13"/>
      <c r="D223" s="13"/>
      <c r="E223" s="13"/>
      <c r="F223" s="13"/>
      <c r="G223" s="13"/>
      <c r="H223" s="13"/>
      <c r="I223" s="13"/>
      <c r="J223" s="13"/>
      <c r="K223" s="13"/>
      <c r="L223" s="13"/>
      <c r="M223" s="13"/>
      <c r="N223" s="13"/>
      <c r="O223" s="13"/>
      <c r="P223" s="13"/>
      <c r="Q223" s="13"/>
      <c r="R223" s="13"/>
    </row>
    <row r="224" spans="1:18" x14ac:dyDescent="0.35">
      <c r="A224" s="13"/>
      <c r="B224" s="13"/>
      <c r="C224" s="13"/>
      <c r="D224" s="13"/>
      <c r="E224" s="13"/>
      <c r="F224" s="13"/>
      <c r="G224" s="13"/>
      <c r="H224" s="13"/>
      <c r="I224" s="13"/>
      <c r="J224" s="13"/>
      <c r="K224" s="13"/>
      <c r="L224" s="13"/>
      <c r="M224" s="13"/>
      <c r="N224" s="13"/>
      <c r="O224" s="13"/>
      <c r="P224" s="13"/>
      <c r="Q224" s="13"/>
      <c r="R224" s="13"/>
    </row>
    <row r="225" spans="1:18" x14ac:dyDescent="0.35">
      <c r="A225" s="13"/>
      <c r="B225" s="13"/>
      <c r="C225" s="13"/>
      <c r="D225" s="13"/>
      <c r="E225" s="13"/>
      <c r="F225" s="13"/>
      <c r="G225" s="13"/>
      <c r="H225" s="13"/>
      <c r="I225" s="13"/>
      <c r="J225" s="13"/>
      <c r="K225" s="13"/>
      <c r="L225" s="13"/>
      <c r="M225" s="13"/>
      <c r="N225" s="13"/>
      <c r="O225" s="13"/>
      <c r="P225" s="13"/>
      <c r="Q225" s="13"/>
      <c r="R225" s="13"/>
    </row>
    <row r="226" spans="1:18" x14ac:dyDescent="0.35">
      <c r="A226" s="13"/>
      <c r="B226" s="13"/>
      <c r="C226" s="13"/>
      <c r="D226" s="13"/>
      <c r="E226" s="13"/>
      <c r="F226" s="13"/>
      <c r="G226" s="13"/>
      <c r="H226" s="13"/>
      <c r="I226" s="13"/>
      <c r="J226" s="13"/>
      <c r="K226" s="13"/>
      <c r="L226" s="13"/>
      <c r="M226" s="13"/>
      <c r="N226" s="13"/>
      <c r="O226" s="13"/>
      <c r="P226" s="13"/>
      <c r="Q226" s="13"/>
      <c r="R226" s="13"/>
    </row>
    <row r="227" spans="1:18" x14ac:dyDescent="0.35">
      <c r="A227" s="13"/>
      <c r="B227" s="13"/>
      <c r="C227" s="13"/>
      <c r="D227" s="13"/>
      <c r="E227" s="13"/>
      <c r="F227" s="13"/>
      <c r="G227" s="13"/>
      <c r="H227" s="13"/>
      <c r="I227" s="13"/>
      <c r="J227" s="13"/>
      <c r="K227" s="13"/>
      <c r="L227" s="13"/>
      <c r="M227" s="13"/>
      <c r="N227" s="13"/>
      <c r="O227" s="13"/>
      <c r="P227" s="13"/>
      <c r="Q227" s="13"/>
      <c r="R227" s="13"/>
    </row>
    <row r="228" spans="1:18" x14ac:dyDescent="0.35">
      <c r="A228" s="13"/>
      <c r="B228" s="13"/>
      <c r="C228" s="13"/>
      <c r="D228" s="13"/>
      <c r="E228" s="13"/>
      <c r="F228" s="13"/>
      <c r="G228" s="13"/>
      <c r="H228" s="13"/>
      <c r="I228" s="13"/>
      <c r="J228" s="13"/>
      <c r="K228" s="13"/>
      <c r="L228" s="13"/>
      <c r="M228" s="13"/>
      <c r="N228" s="13"/>
      <c r="O228" s="13"/>
      <c r="P228" s="13"/>
      <c r="Q228" s="13"/>
      <c r="R228" s="13"/>
    </row>
    <row r="229" spans="1:18" x14ac:dyDescent="0.35">
      <c r="A229" s="13"/>
      <c r="B229" s="13"/>
      <c r="C229" s="13"/>
      <c r="D229" s="13"/>
      <c r="E229" s="13"/>
      <c r="F229" s="13"/>
      <c r="G229" s="13"/>
      <c r="H229" s="13"/>
      <c r="I229" s="13"/>
      <c r="J229" s="13"/>
      <c r="K229" s="13"/>
      <c r="L229" s="13"/>
      <c r="M229" s="13"/>
      <c r="N229" s="13"/>
      <c r="O229" s="13"/>
      <c r="P229" s="13"/>
      <c r="Q229" s="13"/>
      <c r="R229" s="13"/>
    </row>
    <row r="230" spans="1:18" x14ac:dyDescent="0.35">
      <c r="A230" s="13"/>
      <c r="B230" s="13"/>
      <c r="C230" s="13"/>
      <c r="D230" s="13"/>
      <c r="E230" s="13"/>
      <c r="F230" s="13"/>
      <c r="G230" s="13"/>
      <c r="H230" s="13"/>
      <c r="I230" s="13"/>
      <c r="J230" s="13"/>
      <c r="K230" s="13"/>
      <c r="L230" s="13"/>
      <c r="M230" s="13"/>
      <c r="N230" s="13"/>
      <c r="O230" s="13"/>
      <c r="P230" s="13"/>
      <c r="Q230" s="13"/>
      <c r="R230" s="13"/>
    </row>
  </sheetData>
  <phoneticPr fontId="10"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8C0F-B318-4C61-91E0-6983D3AA989A}">
  <dimension ref="A3:B16"/>
  <sheetViews>
    <sheetView topLeftCell="A7" workbookViewId="0">
      <selection activeCell="A13" sqref="A13:B13"/>
      <pivotSelection pane="bottomRight" showHeader="1" extendable="1" axis="axisRow" start="9" max="13" activeRow="12" previousRow="12" click="1" r:id="rId1">
        <pivotArea dataOnly="0" fieldPosition="0">
          <references count="1">
            <reference field="0" count="1">
              <x v="9"/>
            </reference>
          </references>
        </pivotArea>
      </pivotSelection>
    </sheetView>
  </sheetViews>
  <sheetFormatPr defaultRowHeight="14.5" x14ac:dyDescent="0.35"/>
  <cols>
    <col min="1" max="1" width="12.453125" bestFit="1" customWidth="1"/>
    <col min="2" max="2" width="14.453125" bestFit="1" customWidth="1"/>
  </cols>
  <sheetData>
    <row r="3" spans="1:2" x14ac:dyDescent="0.35">
      <c r="A3" s="2" t="s">
        <v>30</v>
      </c>
      <c r="B3" t="s">
        <v>34</v>
      </c>
    </row>
    <row r="4" spans="1:2" x14ac:dyDescent="0.35">
      <c r="A4" s="3" t="s">
        <v>5</v>
      </c>
      <c r="B4" s="29">
        <v>22000</v>
      </c>
    </row>
    <row r="5" spans="1:2" x14ac:dyDescent="0.35">
      <c r="A5" s="3" t="s">
        <v>16</v>
      </c>
      <c r="B5" s="29">
        <v>14000</v>
      </c>
    </row>
    <row r="6" spans="1:2" x14ac:dyDescent="0.35">
      <c r="A6" s="3" t="s">
        <v>17</v>
      </c>
      <c r="B6" s="29">
        <v>19000</v>
      </c>
    </row>
    <row r="7" spans="1:2" x14ac:dyDescent="0.35">
      <c r="A7" s="3" t="s">
        <v>18</v>
      </c>
      <c r="B7" s="29">
        <v>32000</v>
      </c>
    </row>
    <row r="8" spans="1:2" x14ac:dyDescent="0.35">
      <c r="A8" s="3" t="s">
        <v>19</v>
      </c>
      <c r="B8" s="29">
        <v>31000</v>
      </c>
    </row>
    <row r="9" spans="1:2" x14ac:dyDescent="0.35">
      <c r="A9" s="3" t="s">
        <v>20</v>
      </c>
      <c r="B9" s="29">
        <v>-9000</v>
      </c>
    </row>
    <row r="10" spans="1:2" x14ac:dyDescent="0.35">
      <c r="A10" s="3" t="s">
        <v>21</v>
      </c>
      <c r="B10" s="29">
        <v>28000</v>
      </c>
    </row>
    <row r="11" spans="1:2" x14ac:dyDescent="0.35">
      <c r="A11" s="3" t="s">
        <v>22</v>
      </c>
      <c r="B11" s="29">
        <v>-2000</v>
      </c>
    </row>
    <row r="12" spans="1:2" x14ac:dyDescent="0.35">
      <c r="A12" s="3" t="s">
        <v>23</v>
      </c>
      <c r="B12" s="29">
        <v>20000</v>
      </c>
    </row>
    <row r="13" spans="1:2" x14ac:dyDescent="0.35">
      <c r="A13" s="3" t="s">
        <v>24</v>
      </c>
      <c r="B13" s="29">
        <v>29000</v>
      </c>
    </row>
    <row r="14" spans="1:2" x14ac:dyDescent="0.35">
      <c r="A14" s="3" t="s">
        <v>25</v>
      </c>
      <c r="B14" s="29">
        <v>22000</v>
      </c>
    </row>
    <row r="15" spans="1:2" x14ac:dyDescent="0.35">
      <c r="A15" s="3" t="s">
        <v>26</v>
      </c>
      <c r="B15" s="29">
        <v>38000</v>
      </c>
    </row>
    <row r="16" spans="1:2" x14ac:dyDescent="0.35">
      <c r="A16" s="3" t="s">
        <v>31</v>
      </c>
      <c r="B16" s="29">
        <v>244000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CC75-556B-49ED-8911-453CF9B5C126}">
  <dimension ref="A3:D4"/>
  <sheetViews>
    <sheetView workbookViewId="0">
      <selection activeCell="A4" sqref="A4"/>
    </sheetView>
  </sheetViews>
  <sheetFormatPr defaultRowHeight="14.5" x14ac:dyDescent="0.35"/>
  <cols>
    <col min="1" max="1" width="16" bestFit="1" customWidth="1"/>
    <col min="2" max="2" width="12.54296875" bestFit="1" customWidth="1"/>
    <col min="3" max="3" width="14.453125" bestFit="1" customWidth="1"/>
    <col min="4" max="4" width="12.90625" bestFit="1" customWidth="1"/>
  </cols>
  <sheetData>
    <row r="3" spans="1:4" x14ac:dyDescent="0.35">
      <c r="A3" t="s">
        <v>62</v>
      </c>
      <c r="B3" t="s">
        <v>33</v>
      </c>
      <c r="C3" t="s">
        <v>34</v>
      </c>
      <c r="D3" t="s">
        <v>32</v>
      </c>
    </row>
    <row r="4" spans="1:4" x14ac:dyDescent="0.35">
      <c r="A4" s="31">
        <v>1.1730802580564181</v>
      </c>
      <c r="B4" s="30">
        <v>14132000</v>
      </c>
      <c r="C4" s="30">
        <v>244000</v>
      </c>
      <c r="D4" s="30">
        <v>13888000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7D1C-D98D-4E54-84C1-D91ECAB678AC}">
  <dimension ref="A1:I85"/>
  <sheetViews>
    <sheetView workbookViewId="0">
      <selection activeCell="D4" sqref="D4"/>
    </sheetView>
  </sheetViews>
  <sheetFormatPr defaultRowHeight="14.5" x14ac:dyDescent="0.35"/>
  <cols>
    <col min="2" max="2" width="12.81640625" customWidth="1"/>
    <col min="3" max="3" width="10.90625" customWidth="1"/>
    <col min="4" max="4" width="10.81640625" customWidth="1"/>
    <col min="5" max="5" width="10.453125" customWidth="1"/>
    <col min="6" max="6" width="11.90625" customWidth="1"/>
    <col min="7" max="7" width="14" customWidth="1"/>
    <col min="8" max="8" width="14.36328125" customWidth="1"/>
  </cols>
  <sheetData>
    <row r="1" spans="1:9" x14ac:dyDescent="0.35">
      <c r="A1" s="1" t="s">
        <v>0</v>
      </c>
      <c r="B1" s="1" t="s">
        <v>1</v>
      </c>
      <c r="C1" s="1" t="s">
        <v>2</v>
      </c>
      <c r="D1" s="1" t="s">
        <v>3</v>
      </c>
      <c r="E1" s="1" t="s">
        <v>4</v>
      </c>
      <c r="F1" s="1" t="s">
        <v>27</v>
      </c>
      <c r="G1" s="1" t="s">
        <v>29</v>
      </c>
      <c r="H1" s="1" t="s">
        <v>28</v>
      </c>
      <c r="I1" s="1" t="s">
        <v>51</v>
      </c>
    </row>
    <row r="2" spans="1:9" x14ac:dyDescent="0.35">
      <c r="A2" s="1" t="s">
        <v>5</v>
      </c>
      <c r="B2" s="1" t="s">
        <v>6</v>
      </c>
      <c r="C2" s="1" t="s">
        <v>7</v>
      </c>
      <c r="D2" s="1">
        <v>500000</v>
      </c>
      <c r="E2" s="1">
        <v>520000</v>
      </c>
      <c r="F2" s="1">
        <f>E2-D2</f>
        <v>20000</v>
      </c>
      <c r="G2" s="4">
        <f>(E2-D2)/D2</f>
        <v>0.04</v>
      </c>
      <c r="H2" s="1" t="str">
        <f t="shared" ref="H2:H65" si="0">IF(E2&gt;D2,"over budget",IF(E2&lt;D2,"under budget","on budget"))</f>
        <v>over budget</v>
      </c>
      <c r="I2" s="1" t="str">
        <f t="shared" ref="I2:I33" si="1">IF(C2="Revenue","Revenue","Expense")</f>
        <v>Revenue</v>
      </c>
    </row>
    <row r="3" spans="1:9" x14ac:dyDescent="0.35">
      <c r="A3" s="1" t="s">
        <v>5</v>
      </c>
      <c r="B3" s="1" t="s">
        <v>6</v>
      </c>
      <c r="C3" s="1" t="s">
        <v>8</v>
      </c>
      <c r="D3" s="1">
        <v>80000</v>
      </c>
      <c r="E3" s="1">
        <v>75000</v>
      </c>
      <c r="F3" s="1">
        <f t="shared" ref="F3:F66" si="2">E3-D3</f>
        <v>-5000</v>
      </c>
      <c r="G3" s="4">
        <f t="shared" ref="G3:G66" si="3">(E3-D3)/D3</f>
        <v>-6.25E-2</v>
      </c>
      <c r="H3" s="1" t="str">
        <f t="shared" si="0"/>
        <v>under budget</v>
      </c>
      <c r="I3" s="1" t="str">
        <f t="shared" si="1"/>
        <v>Expense</v>
      </c>
    </row>
    <row r="4" spans="1:9" x14ac:dyDescent="0.35">
      <c r="A4" s="1" t="s">
        <v>5</v>
      </c>
      <c r="B4" s="1" t="s">
        <v>9</v>
      </c>
      <c r="C4" s="1" t="s">
        <v>10</v>
      </c>
      <c r="D4" s="1">
        <v>180000</v>
      </c>
      <c r="E4" s="1">
        <v>185000</v>
      </c>
      <c r="F4" s="1">
        <f t="shared" si="2"/>
        <v>5000</v>
      </c>
      <c r="G4" s="4">
        <f t="shared" si="3"/>
        <v>2.7777777777777776E-2</v>
      </c>
      <c r="H4" s="1" t="str">
        <f t="shared" si="0"/>
        <v>over budget</v>
      </c>
      <c r="I4" s="1" t="str">
        <f t="shared" si="1"/>
        <v>Expense</v>
      </c>
    </row>
    <row r="5" spans="1:9" x14ac:dyDescent="0.35">
      <c r="A5" s="1" t="s">
        <v>5</v>
      </c>
      <c r="B5" s="1" t="s">
        <v>9</v>
      </c>
      <c r="C5" s="1" t="s">
        <v>11</v>
      </c>
      <c r="D5" s="1">
        <v>60000</v>
      </c>
      <c r="E5" s="1">
        <v>60000</v>
      </c>
      <c r="F5" s="1">
        <f t="shared" si="2"/>
        <v>0</v>
      </c>
      <c r="G5" s="4">
        <f t="shared" si="3"/>
        <v>0</v>
      </c>
      <c r="H5" s="1" t="str">
        <f t="shared" si="0"/>
        <v>on budget</v>
      </c>
      <c r="I5" s="1" t="str">
        <f t="shared" si="1"/>
        <v>Expense</v>
      </c>
    </row>
    <row r="6" spans="1:9" x14ac:dyDescent="0.35">
      <c r="A6" s="1" t="s">
        <v>5</v>
      </c>
      <c r="B6" s="1" t="s">
        <v>9</v>
      </c>
      <c r="C6" s="1" t="s">
        <v>12</v>
      </c>
      <c r="D6" s="1">
        <v>30000</v>
      </c>
      <c r="E6" s="1">
        <v>34000</v>
      </c>
      <c r="F6" s="1">
        <f t="shared" si="2"/>
        <v>4000</v>
      </c>
      <c r="G6" s="4">
        <f t="shared" si="3"/>
        <v>0.13333333333333333</v>
      </c>
      <c r="H6" s="1" t="str">
        <f t="shared" si="0"/>
        <v>over budget</v>
      </c>
      <c r="I6" s="1" t="str">
        <f t="shared" si="1"/>
        <v>Expense</v>
      </c>
    </row>
    <row r="7" spans="1:9" x14ac:dyDescent="0.35">
      <c r="A7" s="1" t="s">
        <v>5</v>
      </c>
      <c r="B7" s="1" t="s">
        <v>13</v>
      </c>
      <c r="C7" s="1" t="s">
        <v>14</v>
      </c>
      <c r="D7" s="1">
        <v>45000</v>
      </c>
      <c r="E7" s="1">
        <v>48000</v>
      </c>
      <c r="F7" s="1">
        <f t="shared" si="2"/>
        <v>3000</v>
      </c>
      <c r="G7" s="4">
        <f t="shared" si="3"/>
        <v>6.6666666666666666E-2</v>
      </c>
      <c r="H7" s="1" t="str">
        <f t="shared" si="0"/>
        <v>over budget</v>
      </c>
      <c r="I7" s="1" t="str">
        <f t="shared" si="1"/>
        <v>Expense</v>
      </c>
    </row>
    <row r="8" spans="1:9" x14ac:dyDescent="0.35">
      <c r="A8" s="1" t="s">
        <v>5</v>
      </c>
      <c r="B8" s="1" t="s">
        <v>13</v>
      </c>
      <c r="C8" s="1" t="s">
        <v>15</v>
      </c>
      <c r="D8" s="1">
        <v>40000</v>
      </c>
      <c r="E8" s="1">
        <v>35000</v>
      </c>
      <c r="F8" s="1">
        <f t="shared" si="2"/>
        <v>-5000</v>
      </c>
      <c r="G8" s="4">
        <f t="shared" si="3"/>
        <v>-0.125</v>
      </c>
      <c r="H8" s="1" t="str">
        <f t="shared" si="0"/>
        <v>under budget</v>
      </c>
      <c r="I8" s="1" t="str">
        <f t="shared" si="1"/>
        <v>Expense</v>
      </c>
    </row>
    <row r="9" spans="1:9" x14ac:dyDescent="0.35">
      <c r="A9" s="1" t="s">
        <v>16</v>
      </c>
      <c r="B9" s="1" t="s">
        <v>6</v>
      </c>
      <c r="C9" s="1" t="s">
        <v>7</v>
      </c>
      <c r="D9" s="1">
        <v>520000</v>
      </c>
      <c r="E9" s="1">
        <v>510000</v>
      </c>
      <c r="F9" s="1">
        <f t="shared" si="2"/>
        <v>-10000</v>
      </c>
      <c r="G9" s="4">
        <f t="shared" si="3"/>
        <v>-1.9230769230769232E-2</v>
      </c>
      <c r="H9" s="1" t="str">
        <f t="shared" si="0"/>
        <v>under budget</v>
      </c>
      <c r="I9" s="1" t="str">
        <f t="shared" si="1"/>
        <v>Revenue</v>
      </c>
    </row>
    <row r="10" spans="1:9" x14ac:dyDescent="0.35">
      <c r="A10" s="1" t="s">
        <v>16</v>
      </c>
      <c r="B10" s="1" t="s">
        <v>6</v>
      </c>
      <c r="C10" s="1" t="s">
        <v>8</v>
      </c>
      <c r="D10" s="1">
        <v>85000</v>
      </c>
      <c r="E10" s="1">
        <v>92000</v>
      </c>
      <c r="F10" s="1">
        <f t="shared" si="2"/>
        <v>7000</v>
      </c>
      <c r="G10" s="4">
        <f t="shared" si="3"/>
        <v>8.2352941176470587E-2</v>
      </c>
      <c r="H10" s="1" t="str">
        <f t="shared" si="0"/>
        <v>over budget</v>
      </c>
      <c r="I10" s="1" t="str">
        <f t="shared" si="1"/>
        <v>Expense</v>
      </c>
    </row>
    <row r="11" spans="1:9" x14ac:dyDescent="0.35">
      <c r="A11" s="1" t="s">
        <v>16</v>
      </c>
      <c r="B11" s="1" t="s">
        <v>9</v>
      </c>
      <c r="C11" s="1" t="s">
        <v>10</v>
      </c>
      <c r="D11" s="1">
        <v>180000</v>
      </c>
      <c r="E11" s="1">
        <v>190000</v>
      </c>
      <c r="F11" s="1">
        <f t="shared" si="2"/>
        <v>10000</v>
      </c>
      <c r="G11" s="4">
        <f t="shared" si="3"/>
        <v>5.5555555555555552E-2</v>
      </c>
      <c r="H11" s="1" t="str">
        <f t="shared" si="0"/>
        <v>over budget</v>
      </c>
      <c r="I11" s="1" t="str">
        <f t="shared" si="1"/>
        <v>Expense</v>
      </c>
    </row>
    <row r="12" spans="1:9" x14ac:dyDescent="0.35">
      <c r="A12" s="1" t="s">
        <v>16</v>
      </c>
      <c r="B12" s="1" t="s">
        <v>9</v>
      </c>
      <c r="C12" s="1" t="s">
        <v>11</v>
      </c>
      <c r="D12" s="1">
        <v>60000</v>
      </c>
      <c r="E12" s="1">
        <v>60000</v>
      </c>
      <c r="F12" s="1">
        <f t="shared" si="2"/>
        <v>0</v>
      </c>
      <c r="G12" s="4">
        <f t="shared" si="3"/>
        <v>0</v>
      </c>
      <c r="H12" s="1" t="str">
        <f t="shared" si="0"/>
        <v>on budget</v>
      </c>
      <c r="I12" s="1" t="str">
        <f t="shared" si="1"/>
        <v>Expense</v>
      </c>
    </row>
    <row r="13" spans="1:9" x14ac:dyDescent="0.35">
      <c r="A13" s="1" t="s">
        <v>16</v>
      </c>
      <c r="B13" s="1" t="s">
        <v>9</v>
      </c>
      <c r="C13" s="1" t="s">
        <v>12</v>
      </c>
      <c r="D13" s="1">
        <v>32000</v>
      </c>
      <c r="E13" s="1">
        <v>30000</v>
      </c>
      <c r="F13" s="1">
        <f t="shared" si="2"/>
        <v>-2000</v>
      </c>
      <c r="G13" s="4">
        <f t="shared" si="3"/>
        <v>-6.25E-2</v>
      </c>
      <c r="H13" s="1" t="str">
        <f t="shared" si="0"/>
        <v>under budget</v>
      </c>
      <c r="I13" s="1" t="str">
        <f t="shared" si="1"/>
        <v>Expense</v>
      </c>
    </row>
    <row r="14" spans="1:9" x14ac:dyDescent="0.35">
      <c r="A14" s="1" t="s">
        <v>16</v>
      </c>
      <c r="B14" s="1" t="s">
        <v>13</v>
      </c>
      <c r="C14" s="1" t="s">
        <v>14</v>
      </c>
      <c r="D14" s="1">
        <v>45000</v>
      </c>
      <c r="E14" s="1">
        <v>47000</v>
      </c>
      <c r="F14" s="1">
        <f t="shared" si="2"/>
        <v>2000</v>
      </c>
      <c r="G14" s="4">
        <f t="shared" si="3"/>
        <v>4.4444444444444446E-2</v>
      </c>
      <c r="H14" s="1" t="str">
        <f t="shared" si="0"/>
        <v>over budget</v>
      </c>
      <c r="I14" s="1" t="str">
        <f t="shared" si="1"/>
        <v>Expense</v>
      </c>
    </row>
    <row r="15" spans="1:9" x14ac:dyDescent="0.35">
      <c r="A15" s="1" t="s">
        <v>16</v>
      </c>
      <c r="B15" s="1" t="s">
        <v>13</v>
      </c>
      <c r="C15" s="1" t="s">
        <v>15</v>
      </c>
      <c r="D15" s="1">
        <v>35000</v>
      </c>
      <c r="E15" s="1">
        <v>42000</v>
      </c>
      <c r="F15" s="1">
        <f t="shared" si="2"/>
        <v>7000</v>
      </c>
      <c r="G15" s="4">
        <f t="shared" si="3"/>
        <v>0.2</v>
      </c>
      <c r="H15" s="1" t="str">
        <f t="shared" si="0"/>
        <v>over budget</v>
      </c>
      <c r="I15" s="1" t="str">
        <f t="shared" si="1"/>
        <v>Expense</v>
      </c>
    </row>
    <row r="16" spans="1:9" x14ac:dyDescent="0.35">
      <c r="A16" s="1" t="s">
        <v>17</v>
      </c>
      <c r="B16" s="1" t="s">
        <v>6</v>
      </c>
      <c r="C16" s="1" t="s">
        <v>7</v>
      </c>
      <c r="D16" s="1">
        <v>550000</v>
      </c>
      <c r="E16" s="1">
        <v>570000</v>
      </c>
      <c r="F16" s="1">
        <f t="shared" si="2"/>
        <v>20000</v>
      </c>
      <c r="G16" s="4">
        <f t="shared" si="3"/>
        <v>3.6363636363636362E-2</v>
      </c>
      <c r="H16" s="1" t="str">
        <f t="shared" si="0"/>
        <v>over budget</v>
      </c>
      <c r="I16" s="1" t="str">
        <f t="shared" si="1"/>
        <v>Revenue</v>
      </c>
    </row>
    <row r="17" spans="1:9" x14ac:dyDescent="0.35">
      <c r="A17" s="1" t="s">
        <v>17</v>
      </c>
      <c r="B17" s="1" t="s">
        <v>6</v>
      </c>
      <c r="C17" s="1" t="s">
        <v>8</v>
      </c>
      <c r="D17" s="1">
        <v>90000</v>
      </c>
      <c r="E17" s="1">
        <v>88000</v>
      </c>
      <c r="F17" s="1">
        <f t="shared" si="2"/>
        <v>-2000</v>
      </c>
      <c r="G17" s="4">
        <f t="shared" si="3"/>
        <v>-2.2222222222222223E-2</v>
      </c>
      <c r="H17" s="1" t="str">
        <f t="shared" si="0"/>
        <v>under budget</v>
      </c>
      <c r="I17" s="1" t="str">
        <f t="shared" si="1"/>
        <v>Expense</v>
      </c>
    </row>
    <row r="18" spans="1:9" x14ac:dyDescent="0.35">
      <c r="A18" s="1" t="s">
        <v>17</v>
      </c>
      <c r="B18" s="1" t="s">
        <v>9</v>
      </c>
      <c r="C18" s="1" t="s">
        <v>10</v>
      </c>
      <c r="D18" s="1">
        <v>185000</v>
      </c>
      <c r="E18" s="1">
        <v>182000</v>
      </c>
      <c r="F18" s="1">
        <f t="shared" si="2"/>
        <v>-3000</v>
      </c>
      <c r="G18" s="4">
        <f t="shared" si="3"/>
        <v>-1.6216216216216217E-2</v>
      </c>
      <c r="H18" s="1" t="str">
        <f t="shared" si="0"/>
        <v>under budget</v>
      </c>
      <c r="I18" s="1" t="str">
        <f t="shared" si="1"/>
        <v>Expense</v>
      </c>
    </row>
    <row r="19" spans="1:9" x14ac:dyDescent="0.35">
      <c r="A19" s="1" t="s">
        <v>17</v>
      </c>
      <c r="B19" s="1" t="s">
        <v>9</v>
      </c>
      <c r="C19" s="1" t="s">
        <v>11</v>
      </c>
      <c r="D19" s="1">
        <v>60000</v>
      </c>
      <c r="E19" s="1">
        <v>60000</v>
      </c>
      <c r="F19" s="1">
        <f t="shared" si="2"/>
        <v>0</v>
      </c>
      <c r="G19" s="4">
        <f t="shared" si="3"/>
        <v>0</v>
      </c>
      <c r="H19" s="1" t="str">
        <f t="shared" si="0"/>
        <v>on budget</v>
      </c>
      <c r="I19" s="1" t="str">
        <f t="shared" si="1"/>
        <v>Expense</v>
      </c>
    </row>
    <row r="20" spans="1:9" x14ac:dyDescent="0.35">
      <c r="A20" s="1" t="s">
        <v>17</v>
      </c>
      <c r="B20" s="1" t="s">
        <v>9</v>
      </c>
      <c r="C20" s="1" t="s">
        <v>12</v>
      </c>
      <c r="D20" s="1">
        <v>35000</v>
      </c>
      <c r="E20" s="1">
        <v>39000</v>
      </c>
      <c r="F20" s="1">
        <f t="shared" si="2"/>
        <v>4000</v>
      </c>
      <c r="G20" s="4">
        <f t="shared" si="3"/>
        <v>0.11428571428571428</v>
      </c>
      <c r="H20" s="1" t="str">
        <f t="shared" si="0"/>
        <v>over budget</v>
      </c>
      <c r="I20" s="1" t="str">
        <f t="shared" si="1"/>
        <v>Expense</v>
      </c>
    </row>
    <row r="21" spans="1:9" x14ac:dyDescent="0.35">
      <c r="A21" s="1" t="s">
        <v>17</v>
      </c>
      <c r="B21" s="1" t="s">
        <v>13</v>
      </c>
      <c r="C21" s="1" t="s">
        <v>14</v>
      </c>
      <c r="D21" s="1">
        <v>48000</v>
      </c>
      <c r="E21" s="1">
        <v>50000</v>
      </c>
      <c r="F21" s="1">
        <f t="shared" si="2"/>
        <v>2000</v>
      </c>
      <c r="G21" s="4">
        <f t="shared" si="3"/>
        <v>4.1666666666666664E-2</v>
      </c>
      <c r="H21" s="1" t="str">
        <f t="shared" si="0"/>
        <v>over budget</v>
      </c>
      <c r="I21" s="1" t="str">
        <f t="shared" si="1"/>
        <v>Expense</v>
      </c>
    </row>
    <row r="22" spans="1:9" x14ac:dyDescent="0.35">
      <c r="A22" s="1" t="s">
        <v>17</v>
      </c>
      <c r="B22" s="1" t="s">
        <v>13</v>
      </c>
      <c r="C22" s="1" t="s">
        <v>15</v>
      </c>
      <c r="D22" s="1">
        <v>40000</v>
      </c>
      <c r="E22" s="1">
        <v>38000</v>
      </c>
      <c r="F22" s="1">
        <f t="shared" si="2"/>
        <v>-2000</v>
      </c>
      <c r="G22" s="4">
        <f t="shared" si="3"/>
        <v>-0.05</v>
      </c>
      <c r="H22" s="1" t="str">
        <f t="shared" si="0"/>
        <v>under budget</v>
      </c>
      <c r="I22" s="1" t="str">
        <f t="shared" si="1"/>
        <v>Expense</v>
      </c>
    </row>
    <row r="23" spans="1:9" x14ac:dyDescent="0.35">
      <c r="A23" s="1" t="s">
        <v>18</v>
      </c>
      <c r="B23" s="1" t="s">
        <v>6</v>
      </c>
      <c r="C23" s="1" t="s">
        <v>7</v>
      </c>
      <c r="D23" s="1">
        <v>580000</v>
      </c>
      <c r="E23" s="1">
        <v>600000</v>
      </c>
      <c r="F23" s="1">
        <f t="shared" si="2"/>
        <v>20000</v>
      </c>
      <c r="G23" s="4">
        <f t="shared" si="3"/>
        <v>3.4482758620689655E-2</v>
      </c>
      <c r="H23" s="1" t="str">
        <f t="shared" si="0"/>
        <v>over budget</v>
      </c>
      <c r="I23" s="1" t="str">
        <f t="shared" si="1"/>
        <v>Revenue</v>
      </c>
    </row>
    <row r="24" spans="1:9" x14ac:dyDescent="0.35">
      <c r="A24" s="1" t="s">
        <v>18</v>
      </c>
      <c r="B24" s="1" t="s">
        <v>6</v>
      </c>
      <c r="C24" s="1" t="s">
        <v>8</v>
      </c>
      <c r="D24" s="1">
        <v>95000</v>
      </c>
      <c r="E24" s="1">
        <v>100000</v>
      </c>
      <c r="F24" s="1">
        <f t="shared" si="2"/>
        <v>5000</v>
      </c>
      <c r="G24" s="4">
        <f t="shared" si="3"/>
        <v>5.2631578947368418E-2</v>
      </c>
      <c r="H24" s="1" t="str">
        <f t="shared" si="0"/>
        <v>over budget</v>
      </c>
      <c r="I24" s="1" t="str">
        <f t="shared" si="1"/>
        <v>Expense</v>
      </c>
    </row>
    <row r="25" spans="1:9" x14ac:dyDescent="0.35">
      <c r="A25" s="1" t="s">
        <v>18</v>
      </c>
      <c r="B25" s="1" t="s">
        <v>9</v>
      </c>
      <c r="C25" s="1" t="s">
        <v>10</v>
      </c>
      <c r="D25" s="1">
        <v>190000</v>
      </c>
      <c r="E25" s="1">
        <v>195000</v>
      </c>
      <c r="F25" s="1">
        <f t="shared" si="2"/>
        <v>5000</v>
      </c>
      <c r="G25" s="4">
        <f t="shared" si="3"/>
        <v>2.6315789473684209E-2</v>
      </c>
      <c r="H25" s="1" t="str">
        <f t="shared" si="0"/>
        <v>over budget</v>
      </c>
      <c r="I25" s="1" t="str">
        <f t="shared" si="1"/>
        <v>Expense</v>
      </c>
    </row>
    <row r="26" spans="1:9" x14ac:dyDescent="0.35">
      <c r="A26" s="1" t="s">
        <v>18</v>
      </c>
      <c r="B26" s="1" t="s">
        <v>9</v>
      </c>
      <c r="C26" s="1" t="s">
        <v>11</v>
      </c>
      <c r="D26" s="1">
        <v>60000</v>
      </c>
      <c r="E26" s="1">
        <v>60000</v>
      </c>
      <c r="F26" s="1">
        <f t="shared" si="2"/>
        <v>0</v>
      </c>
      <c r="G26" s="4">
        <f t="shared" si="3"/>
        <v>0</v>
      </c>
      <c r="H26" s="1" t="str">
        <f t="shared" si="0"/>
        <v>on budget</v>
      </c>
      <c r="I26" s="1" t="str">
        <f t="shared" si="1"/>
        <v>Expense</v>
      </c>
    </row>
    <row r="27" spans="1:9" x14ac:dyDescent="0.35">
      <c r="A27" s="1" t="s">
        <v>18</v>
      </c>
      <c r="B27" s="1" t="s">
        <v>9</v>
      </c>
      <c r="C27" s="1" t="s">
        <v>12</v>
      </c>
      <c r="D27" s="1">
        <v>35000</v>
      </c>
      <c r="E27" s="1">
        <v>33000</v>
      </c>
      <c r="F27" s="1">
        <f t="shared" si="2"/>
        <v>-2000</v>
      </c>
      <c r="G27" s="4">
        <f t="shared" si="3"/>
        <v>-5.7142857142857141E-2</v>
      </c>
      <c r="H27" s="1" t="str">
        <f t="shared" si="0"/>
        <v>under budget</v>
      </c>
      <c r="I27" s="1" t="str">
        <f t="shared" si="1"/>
        <v>Expense</v>
      </c>
    </row>
    <row r="28" spans="1:9" x14ac:dyDescent="0.35">
      <c r="A28" s="1" t="s">
        <v>18</v>
      </c>
      <c r="B28" s="1" t="s">
        <v>13</v>
      </c>
      <c r="C28" s="1" t="s">
        <v>14</v>
      </c>
      <c r="D28" s="1">
        <v>50000</v>
      </c>
      <c r="E28" s="1">
        <v>52000</v>
      </c>
      <c r="F28" s="1">
        <f t="shared" si="2"/>
        <v>2000</v>
      </c>
      <c r="G28" s="4">
        <f t="shared" si="3"/>
        <v>0.04</v>
      </c>
      <c r="H28" s="1" t="str">
        <f t="shared" si="0"/>
        <v>over budget</v>
      </c>
      <c r="I28" s="1" t="str">
        <f t="shared" si="1"/>
        <v>Expense</v>
      </c>
    </row>
    <row r="29" spans="1:9" x14ac:dyDescent="0.35">
      <c r="A29" s="1" t="s">
        <v>18</v>
      </c>
      <c r="B29" s="1" t="s">
        <v>13</v>
      </c>
      <c r="C29" s="1" t="s">
        <v>15</v>
      </c>
      <c r="D29" s="1">
        <v>45000</v>
      </c>
      <c r="E29" s="1">
        <v>47000</v>
      </c>
      <c r="F29" s="1">
        <f t="shared" si="2"/>
        <v>2000</v>
      </c>
      <c r="G29" s="4">
        <f t="shared" si="3"/>
        <v>4.4444444444444446E-2</v>
      </c>
      <c r="H29" s="1" t="str">
        <f t="shared" si="0"/>
        <v>over budget</v>
      </c>
      <c r="I29" s="1" t="str">
        <f t="shared" si="1"/>
        <v>Expense</v>
      </c>
    </row>
    <row r="30" spans="1:9" x14ac:dyDescent="0.35">
      <c r="A30" s="1" t="s">
        <v>19</v>
      </c>
      <c r="B30" s="1" t="s">
        <v>6</v>
      </c>
      <c r="C30" s="1" t="s">
        <v>7</v>
      </c>
      <c r="D30" s="1">
        <v>600000</v>
      </c>
      <c r="E30" s="1">
        <v>625000</v>
      </c>
      <c r="F30" s="1">
        <f t="shared" si="2"/>
        <v>25000</v>
      </c>
      <c r="G30" s="4">
        <f t="shared" si="3"/>
        <v>4.1666666666666664E-2</v>
      </c>
      <c r="H30" s="1" t="str">
        <f t="shared" si="0"/>
        <v>over budget</v>
      </c>
      <c r="I30" s="1" t="str">
        <f t="shared" si="1"/>
        <v>Revenue</v>
      </c>
    </row>
    <row r="31" spans="1:9" x14ac:dyDescent="0.35">
      <c r="A31" s="1" t="s">
        <v>19</v>
      </c>
      <c r="B31" s="1" t="s">
        <v>6</v>
      </c>
      <c r="C31" s="1" t="s">
        <v>8</v>
      </c>
      <c r="D31" s="1">
        <v>100000</v>
      </c>
      <c r="E31" s="1">
        <v>97000</v>
      </c>
      <c r="F31" s="1">
        <f t="shared" si="2"/>
        <v>-3000</v>
      </c>
      <c r="G31" s="4">
        <f t="shared" si="3"/>
        <v>-0.03</v>
      </c>
      <c r="H31" s="1" t="str">
        <f t="shared" si="0"/>
        <v>under budget</v>
      </c>
      <c r="I31" s="1" t="str">
        <f t="shared" si="1"/>
        <v>Expense</v>
      </c>
    </row>
    <row r="32" spans="1:9" x14ac:dyDescent="0.35">
      <c r="A32" s="1" t="s">
        <v>19</v>
      </c>
      <c r="B32" s="1" t="s">
        <v>9</v>
      </c>
      <c r="C32" s="1" t="s">
        <v>10</v>
      </c>
      <c r="D32" s="1">
        <v>195000</v>
      </c>
      <c r="E32" s="1">
        <v>200000</v>
      </c>
      <c r="F32" s="1">
        <f t="shared" si="2"/>
        <v>5000</v>
      </c>
      <c r="G32" s="4">
        <f t="shared" si="3"/>
        <v>2.564102564102564E-2</v>
      </c>
      <c r="H32" s="1" t="str">
        <f t="shared" si="0"/>
        <v>over budget</v>
      </c>
      <c r="I32" s="1" t="str">
        <f t="shared" si="1"/>
        <v>Expense</v>
      </c>
    </row>
    <row r="33" spans="1:9" x14ac:dyDescent="0.35">
      <c r="A33" s="1" t="s">
        <v>19</v>
      </c>
      <c r="B33" s="1" t="s">
        <v>9</v>
      </c>
      <c r="C33" s="1" t="s">
        <v>11</v>
      </c>
      <c r="D33" s="1">
        <v>60000</v>
      </c>
      <c r="E33" s="1">
        <v>60000</v>
      </c>
      <c r="F33" s="1">
        <f t="shared" si="2"/>
        <v>0</v>
      </c>
      <c r="G33" s="4">
        <f t="shared" si="3"/>
        <v>0</v>
      </c>
      <c r="H33" s="1" t="str">
        <f t="shared" si="0"/>
        <v>on budget</v>
      </c>
      <c r="I33" s="1" t="str">
        <f t="shared" si="1"/>
        <v>Expense</v>
      </c>
    </row>
    <row r="34" spans="1:9" x14ac:dyDescent="0.35">
      <c r="A34" s="1" t="s">
        <v>19</v>
      </c>
      <c r="B34" s="1" t="s">
        <v>9</v>
      </c>
      <c r="C34" s="1" t="s">
        <v>12</v>
      </c>
      <c r="D34" s="1">
        <v>38000</v>
      </c>
      <c r="E34" s="1">
        <v>41000</v>
      </c>
      <c r="F34" s="1">
        <f t="shared" si="2"/>
        <v>3000</v>
      </c>
      <c r="G34" s="4">
        <f t="shared" si="3"/>
        <v>7.8947368421052627E-2</v>
      </c>
      <c r="H34" s="1" t="str">
        <f t="shared" si="0"/>
        <v>over budget</v>
      </c>
      <c r="I34" s="1" t="str">
        <f t="shared" ref="I34:I65" si="4">IF(C34="Revenue","Revenue","Expense")</f>
        <v>Expense</v>
      </c>
    </row>
    <row r="35" spans="1:9" x14ac:dyDescent="0.35">
      <c r="A35" s="1" t="s">
        <v>19</v>
      </c>
      <c r="B35" s="1" t="s">
        <v>13</v>
      </c>
      <c r="C35" s="1" t="s">
        <v>14</v>
      </c>
      <c r="D35" s="1">
        <v>52000</v>
      </c>
      <c r="E35" s="1">
        <v>50000</v>
      </c>
      <c r="F35" s="1">
        <f t="shared" si="2"/>
        <v>-2000</v>
      </c>
      <c r="G35" s="4">
        <f t="shared" si="3"/>
        <v>-3.8461538461538464E-2</v>
      </c>
      <c r="H35" s="1" t="str">
        <f t="shared" si="0"/>
        <v>under budget</v>
      </c>
      <c r="I35" s="1" t="str">
        <f t="shared" si="4"/>
        <v>Expense</v>
      </c>
    </row>
    <row r="36" spans="1:9" x14ac:dyDescent="0.35">
      <c r="A36" s="1" t="s">
        <v>19</v>
      </c>
      <c r="B36" s="1" t="s">
        <v>13</v>
      </c>
      <c r="C36" s="1" t="s">
        <v>15</v>
      </c>
      <c r="D36" s="1">
        <v>45000</v>
      </c>
      <c r="E36" s="1">
        <v>48000</v>
      </c>
      <c r="F36" s="1">
        <f t="shared" si="2"/>
        <v>3000</v>
      </c>
      <c r="G36" s="4">
        <f t="shared" si="3"/>
        <v>6.6666666666666666E-2</v>
      </c>
      <c r="H36" s="1" t="str">
        <f t="shared" si="0"/>
        <v>over budget</v>
      </c>
      <c r="I36" s="1" t="str">
        <f t="shared" si="4"/>
        <v>Expense</v>
      </c>
    </row>
    <row r="37" spans="1:9" x14ac:dyDescent="0.35">
      <c r="A37" s="1" t="s">
        <v>20</v>
      </c>
      <c r="B37" s="1" t="s">
        <v>6</v>
      </c>
      <c r="C37" s="1" t="s">
        <v>7</v>
      </c>
      <c r="D37" s="1">
        <v>620000</v>
      </c>
      <c r="E37" s="1">
        <v>605000</v>
      </c>
      <c r="F37" s="1">
        <f t="shared" si="2"/>
        <v>-15000</v>
      </c>
      <c r="G37" s="4">
        <f t="shared" si="3"/>
        <v>-2.4193548387096774E-2</v>
      </c>
      <c r="H37" s="1" t="str">
        <f t="shared" si="0"/>
        <v>under budget</v>
      </c>
      <c r="I37" s="1" t="str">
        <f t="shared" si="4"/>
        <v>Revenue</v>
      </c>
    </row>
    <row r="38" spans="1:9" x14ac:dyDescent="0.35">
      <c r="A38" s="1" t="s">
        <v>20</v>
      </c>
      <c r="B38" s="1" t="s">
        <v>6</v>
      </c>
      <c r="C38" s="1" t="s">
        <v>8</v>
      </c>
      <c r="D38" s="1">
        <v>105000</v>
      </c>
      <c r="E38" s="1">
        <v>110000</v>
      </c>
      <c r="F38" s="1">
        <f t="shared" si="2"/>
        <v>5000</v>
      </c>
      <c r="G38" s="4">
        <f t="shared" si="3"/>
        <v>4.7619047619047616E-2</v>
      </c>
      <c r="H38" s="1" t="str">
        <f t="shared" si="0"/>
        <v>over budget</v>
      </c>
      <c r="I38" s="1" t="str">
        <f t="shared" si="4"/>
        <v>Expense</v>
      </c>
    </row>
    <row r="39" spans="1:9" x14ac:dyDescent="0.35">
      <c r="A39" s="1" t="s">
        <v>20</v>
      </c>
      <c r="B39" s="1" t="s">
        <v>9</v>
      </c>
      <c r="C39" s="1" t="s">
        <v>10</v>
      </c>
      <c r="D39" s="1">
        <v>200000</v>
      </c>
      <c r="E39" s="1">
        <v>205000</v>
      </c>
      <c r="F39" s="1">
        <f t="shared" si="2"/>
        <v>5000</v>
      </c>
      <c r="G39" s="4">
        <f t="shared" si="3"/>
        <v>2.5000000000000001E-2</v>
      </c>
      <c r="H39" s="1" t="str">
        <f t="shared" si="0"/>
        <v>over budget</v>
      </c>
      <c r="I39" s="1" t="str">
        <f t="shared" si="4"/>
        <v>Expense</v>
      </c>
    </row>
    <row r="40" spans="1:9" x14ac:dyDescent="0.35">
      <c r="A40" s="1" t="s">
        <v>20</v>
      </c>
      <c r="B40" s="1" t="s">
        <v>9</v>
      </c>
      <c r="C40" s="1" t="s">
        <v>11</v>
      </c>
      <c r="D40" s="1">
        <v>60000</v>
      </c>
      <c r="E40" s="1">
        <v>60000</v>
      </c>
      <c r="F40" s="1">
        <f t="shared" si="2"/>
        <v>0</v>
      </c>
      <c r="G40" s="4">
        <f t="shared" si="3"/>
        <v>0</v>
      </c>
      <c r="H40" s="1" t="str">
        <f t="shared" si="0"/>
        <v>on budget</v>
      </c>
      <c r="I40" s="1" t="str">
        <f t="shared" si="4"/>
        <v>Expense</v>
      </c>
    </row>
    <row r="41" spans="1:9" x14ac:dyDescent="0.35">
      <c r="A41" s="1" t="s">
        <v>20</v>
      </c>
      <c r="B41" s="1" t="s">
        <v>9</v>
      </c>
      <c r="C41" s="1" t="s">
        <v>12</v>
      </c>
      <c r="D41" s="1">
        <v>40000</v>
      </c>
      <c r="E41" s="1">
        <v>38000</v>
      </c>
      <c r="F41" s="1">
        <f t="shared" si="2"/>
        <v>-2000</v>
      </c>
      <c r="G41" s="4">
        <f t="shared" si="3"/>
        <v>-0.05</v>
      </c>
      <c r="H41" s="1" t="str">
        <f t="shared" si="0"/>
        <v>under budget</v>
      </c>
      <c r="I41" s="1" t="str">
        <f t="shared" si="4"/>
        <v>Expense</v>
      </c>
    </row>
    <row r="42" spans="1:9" x14ac:dyDescent="0.35">
      <c r="A42" s="1" t="s">
        <v>20</v>
      </c>
      <c r="B42" s="1" t="s">
        <v>13</v>
      </c>
      <c r="C42" s="1" t="s">
        <v>14</v>
      </c>
      <c r="D42" s="1">
        <v>55000</v>
      </c>
      <c r="E42" s="1">
        <v>57000</v>
      </c>
      <c r="F42" s="1">
        <f t="shared" si="2"/>
        <v>2000</v>
      </c>
      <c r="G42" s="4">
        <f t="shared" si="3"/>
        <v>3.6363636363636362E-2</v>
      </c>
      <c r="H42" s="1" t="str">
        <f t="shared" si="0"/>
        <v>over budget</v>
      </c>
      <c r="I42" s="1" t="str">
        <f t="shared" si="4"/>
        <v>Expense</v>
      </c>
    </row>
    <row r="43" spans="1:9" x14ac:dyDescent="0.35">
      <c r="A43" s="1" t="s">
        <v>20</v>
      </c>
      <c r="B43" s="1" t="s">
        <v>13</v>
      </c>
      <c r="C43" s="1" t="s">
        <v>15</v>
      </c>
      <c r="D43" s="1">
        <v>50000</v>
      </c>
      <c r="E43" s="1">
        <v>46000</v>
      </c>
      <c r="F43" s="1">
        <f t="shared" si="2"/>
        <v>-4000</v>
      </c>
      <c r="G43" s="4">
        <f t="shared" si="3"/>
        <v>-0.08</v>
      </c>
      <c r="H43" s="1" t="str">
        <f t="shared" si="0"/>
        <v>under budget</v>
      </c>
      <c r="I43" s="1" t="str">
        <f t="shared" si="4"/>
        <v>Expense</v>
      </c>
    </row>
    <row r="44" spans="1:9" x14ac:dyDescent="0.35">
      <c r="A44" s="1" t="s">
        <v>21</v>
      </c>
      <c r="B44" s="1" t="s">
        <v>6</v>
      </c>
      <c r="C44" s="1" t="s">
        <v>7</v>
      </c>
      <c r="D44" s="1">
        <v>650000</v>
      </c>
      <c r="E44" s="1">
        <v>675000</v>
      </c>
      <c r="F44" s="1">
        <f t="shared" si="2"/>
        <v>25000</v>
      </c>
      <c r="G44" s="4">
        <f t="shared" si="3"/>
        <v>3.8461538461538464E-2</v>
      </c>
      <c r="H44" s="1" t="str">
        <f t="shared" si="0"/>
        <v>over budget</v>
      </c>
      <c r="I44" s="1" t="str">
        <f t="shared" si="4"/>
        <v>Revenue</v>
      </c>
    </row>
    <row r="45" spans="1:9" x14ac:dyDescent="0.35">
      <c r="A45" s="1" t="s">
        <v>21</v>
      </c>
      <c r="B45" s="1" t="s">
        <v>6</v>
      </c>
      <c r="C45" s="1" t="s">
        <v>8</v>
      </c>
      <c r="D45" s="1">
        <v>110000</v>
      </c>
      <c r="E45" s="1">
        <v>105000</v>
      </c>
      <c r="F45" s="1">
        <f t="shared" si="2"/>
        <v>-5000</v>
      </c>
      <c r="G45" s="4">
        <f t="shared" si="3"/>
        <v>-4.5454545454545456E-2</v>
      </c>
      <c r="H45" s="1" t="str">
        <f t="shared" si="0"/>
        <v>under budget</v>
      </c>
      <c r="I45" s="1" t="str">
        <f t="shared" si="4"/>
        <v>Expense</v>
      </c>
    </row>
    <row r="46" spans="1:9" x14ac:dyDescent="0.35">
      <c r="A46" s="1" t="s">
        <v>21</v>
      </c>
      <c r="B46" s="1" t="s">
        <v>9</v>
      </c>
      <c r="C46" s="1" t="s">
        <v>10</v>
      </c>
      <c r="D46" s="1">
        <v>205000</v>
      </c>
      <c r="E46" s="1">
        <v>210000</v>
      </c>
      <c r="F46" s="1">
        <f t="shared" si="2"/>
        <v>5000</v>
      </c>
      <c r="G46" s="4">
        <f t="shared" si="3"/>
        <v>2.4390243902439025E-2</v>
      </c>
      <c r="H46" s="1" t="str">
        <f t="shared" si="0"/>
        <v>over budget</v>
      </c>
      <c r="I46" s="1" t="str">
        <f t="shared" si="4"/>
        <v>Expense</v>
      </c>
    </row>
    <row r="47" spans="1:9" x14ac:dyDescent="0.35">
      <c r="A47" s="1" t="s">
        <v>21</v>
      </c>
      <c r="B47" s="1" t="s">
        <v>9</v>
      </c>
      <c r="C47" s="1" t="s">
        <v>11</v>
      </c>
      <c r="D47" s="1">
        <v>60000</v>
      </c>
      <c r="E47" s="1">
        <v>60000</v>
      </c>
      <c r="F47" s="1">
        <f t="shared" si="2"/>
        <v>0</v>
      </c>
      <c r="G47" s="4">
        <f t="shared" si="3"/>
        <v>0</v>
      </c>
      <c r="H47" s="1" t="str">
        <f t="shared" si="0"/>
        <v>on budget</v>
      </c>
      <c r="I47" s="1" t="str">
        <f t="shared" si="4"/>
        <v>Expense</v>
      </c>
    </row>
    <row r="48" spans="1:9" x14ac:dyDescent="0.35">
      <c r="A48" s="1" t="s">
        <v>21</v>
      </c>
      <c r="B48" s="1" t="s">
        <v>9</v>
      </c>
      <c r="C48" s="1" t="s">
        <v>12</v>
      </c>
      <c r="D48" s="1">
        <v>42000</v>
      </c>
      <c r="E48" s="1">
        <v>45000</v>
      </c>
      <c r="F48" s="1">
        <f t="shared" si="2"/>
        <v>3000</v>
      </c>
      <c r="G48" s="4">
        <f t="shared" si="3"/>
        <v>7.1428571428571425E-2</v>
      </c>
      <c r="H48" s="1" t="str">
        <f t="shared" si="0"/>
        <v>over budget</v>
      </c>
      <c r="I48" s="1" t="str">
        <f t="shared" si="4"/>
        <v>Expense</v>
      </c>
    </row>
    <row r="49" spans="1:9" x14ac:dyDescent="0.35">
      <c r="A49" s="1" t="s">
        <v>21</v>
      </c>
      <c r="B49" s="1" t="s">
        <v>13</v>
      </c>
      <c r="C49" s="1" t="s">
        <v>14</v>
      </c>
      <c r="D49" s="1">
        <v>58000</v>
      </c>
      <c r="E49" s="1">
        <v>60000</v>
      </c>
      <c r="F49" s="1">
        <f t="shared" si="2"/>
        <v>2000</v>
      </c>
      <c r="G49" s="4">
        <f t="shared" si="3"/>
        <v>3.4482758620689655E-2</v>
      </c>
      <c r="H49" s="1" t="str">
        <f t="shared" si="0"/>
        <v>over budget</v>
      </c>
      <c r="I49" s="1" t="str">
        <f t="shared" si="4"/>
        <v>Expense</v>
      </c>
    </row>
    <row r="50" spans="1:9" x14ac:dyDescent="0.35">
      <c r="A50" s="1" t="s">
        <v>21</v>
      </c>
      <c r="B50" s="1" t="s">
        <v>13</v>
      </c>
      <c r="C50" s="1" t="s">
        <v>15</v>
      </c>
      <c r="D50" s="1">
        <v>52000</v>
      </c>
      <c r="E50" s="1">
        <v>50000</v>
      </c>
      <c r="F50" s="1">
        <f t="shared" si="2"/>
        <v>-2000</v>
      </c>
      <c r="G50" s="4">
        <f t="shared" si="3"/>
        <v>-3.8461538461538464E-2</v>
      </c>
      <c r="H50" s="1" t="str">
        <f t="shared" si="0"/>
        <v>under budget</v>
      </c>
      <c r="I50" s="1" t="str">
        <f t="shared" si="4"/>
        <v>Expense</v>
      </c>
    </row>
    <row r="51" spans="1:9" x14ac:dyDescent="0.35">
      <c r="A51" s="1" t="s">
        <v>22</v>
      </c>
      <c r="B51" s="1" t="s">
        <v>6</v>
      </c>
      <c r="C51" s="1" t="s">
        <v>7</v>
      </c>
      <c r="D51" s="1">
        <v>680000</v>
      </c>
      <c r="E51" s="1">
        <v>665000</v>
      </c>
      <c r="F51" s="1">
        <f t="shared" si="2"/>
        <v>-15000</v>
      </c>
      <c r="G51" s="4">
        <f t="shared" si="3"/>
        <v>-2.2058823529411766E-2</v>
      </c>
      <c r="H51" s="1" t="str">
        <f t="shared" si="0"/>
        <v>under budget</v>
      </c>
      <c r="I51" s="1" t="str">
        <f t="shared" si="4"/>
        <v>Revenue</v>
      </c>
    </row>
    <row r="52" spans="1:9" x14ac:dyDescent="0.35">
      <c r="A52" s="1" t="s">
        <v>22</v>
      </c>
      <c r="B52" s="1" t="s">
        <v>6</v>
      </c>
      <c r="C52" s="1" t="s">
        <v>8</v>
      </c>
      <c r="D52" s="1">
        <v>115000</v>
      </c>
      <c r="E52" s="1">
        <v>120000</v>
      </c>
      <c r="F52" s="1">
        <f t="shared" si="2"/>
        <v>5000</v>
      </c>
      <c r="G52" s="4">
        <f t="shared" si="3"/>
        <v>4.3478260869565216E-2</v>
      </c>
      <c r="H52" s="1" t="str">
        <f t="shared" si="0"/>
        <v>over budget</v>
      </c>
      <c r="I52" s="1" t="str">
        <f t="shared" si="4"/>
        <v>Expense</v>
      </c>
    </row>
    <row r="53" spans="1:9" x14ac:dyDescent="0.35">
      <c r="A53" s="1" t="s">
        <v>22</v>
      </c>
      <c r="B53" s="1" t="s">
        <v>9</v>
      </c>
      <c r="C53" s="1" t="s">
        <v>10</v>
      </c>
      <c r="D53" s="1">
        <v>210000</v>
      </c>
      <c r="E53" s="1">
        <v>215000</v>
      </c>
      <c r="F53" s="1">
        <f t="shared" si="2"/>
        <v>5000</v>
      </c>
      <c r="G53" s="4">
        <f t="shared" si="3"/>
        <v>2.3809523809523808E-2</v>
      </c>
      <c r="H53" s="1" t="str">
        <f t="shared" si="0"/>
        <v>over budget</v>
      </c>
      <c r="I53" s="1" t="str">
        <f t="shared" si="4"/>
        <v>Expense</v>
      </c>
    </row>
    <row r="54" spans="1:9" x14ac:dyDescent="0.35">
      <c r="A54" s="1" t="s">
        <v>22</v>
      </c>
      <c r="B54" s="1" t="s">
        <v>9</v>
      </c>
      <c r="C54" s="1" t="s">
        <v>11</v>
      </c>
      <c r="D54" s="1">
        <v>60000</v>
      </c>
      <c r="E54" s="1">
        <v>60000</v>
      </c>
      <c r="F54" s="1">
        <f t="shared" si="2"/>
        <v>0</v>
      </c>
      <c r="G54" s="4">
        <f t="shared" si="3"/>
        <v>0</v>
      </c>
      <c r="H54" s="1" t="str">
        <f t="shared" si="0"/>
        <v>on budget</v>
      </c>
      <c r="I54" s="1" t="str">
        <f t="shared" si="4"/>
        <v>Expense</v>
      </c>
    </row>
    <row r="55" spans="1:9" x14ac:dyDescent="0.35">
      <c r="A55" s="1" t="s">
        <v>22</v>
      </c>
      <c r="B55" s="1" t="s">
        <v>9</v>
      </c>
      <c r="C55" s="1" t="s">
        <v>12</v>
      </c>
      <c r="D55" s="1">
        <v>43000</v>
      </c>
      <c r="E55" s="1">
        <v>41000</v>
      </c>
      <c r="F55" s="1">
        <f t="shared" si="2"/>
        <v>-2000</v>
      </c>
      <c r="G55" s="4">
        <f t="shared" si="3"/>
        <v>-4.6511627906976744E-2</v>
      </c>
      <c r="H55" s="1" t="str">
        <f t="shared" si="0"/>
        <v>under budget</v>
      </c>
      <c r="I55" s="1" t="str">
        <f t="shared" si="4"/>
        <v>Expense</v>
      </c>
    </row>
    <row r="56" spans="1:9" x14ac:dyDescent="0.35">
      <c r="A56" s="1" t="s">
        <v>22</v>
      </c>
      <c r="B56" s="1" t="s">
        <v>13</v>
      </c>
      <c r="C56" s="1" t="s">
        <v>14</v>
      </c>
      <c r="D56" s="1">
        <v>60000</v>
      </c>
      <c r="E56" s="1">
        <v>62000</v>
      </c>
      <c r="F56" s="1">
        <f t="shared" si="2"/>
        <v>2000</v>
      </c>
      <c r="G56" s="4">
        <f t="shared" si="3"/>
        <v>3.3333333333333333E-2</v>
      </c>
      <c r="H56" s="1" t="str">
        <f t="shared" si="0"/>
        <v>over budget</v>
      </c>
      <c r="I56" s="1" t="str">
        <f t="shared" si="4"/>
        <v>Expense</v>
      </c>
    </row>
    <row r="57" spans="1:9" x14ac:dyDescent="0.35">
      <c r="A57" s="1" t="s">
        <v>22</v>
      </c>
      <c r="B57" s="1" t="s">
        <v>13</v>
      </c>
      <c r="C57" s="1" t="s">
        <v>15</v>
      </c>
      <c r="D57" s="1">
        <v>55000</v>
      </c>
      <c r="E57" s="1">
        <v>58000</v>
      </c>
      <c r="F57" s="1">
        <f t="shared" si="2"/>
        <v>3000</v>
      </c>
      <c r="G57" s="4">
        <f t="shared" si="3"/>
        <v>5.4545454545454543E-2</v>
      </c>
      <c r="H57" s="1" t="str">
        <f t="shared" si="0"/>
        <v>over budget</v>
      </c>
      <c r="I57" s="1" t="str">
        <f t="shared" si="4"/>
        <v>Expense</v>
      </c>
    </row>
    <row r="58" spans="1:9" x14ac:dyDescent="0.35">
      <c r="A58" s="1" t="s">
        <v>23</v>
      </c>
      <c r="B58" s="1" t="s">
        <v>6</v>
      </c>
      <c r="C58" s="1" t="s">
        <v>7</v>
      </c>
      <c r="D58" s="1">
        <v>700000</v>
      </c>
      <c r="E58" s="1">
        <v>720000</v>
      </c>
      <c r="F58" s="1">
        <f t="shared" si="2"/>
        <v>20000</v>
      </c>
      <c r="G58" s="4">
        <f t="shared" si="3"/>
        <v>2.8571428571428571E-2</v>
      </c>
      <c r="H58" s="1" t="str">
        <f t="shared" si="0"/>
        <v>over budget</v>
      </c>
      <c r="I58" s="1" t="str">
        <f t="shared" si="4"/>
        <v>Revenue</v>
      </c>
    </row>
    <row r="59" spans="1:9" x14ac:dyDescent="0.35">
      <c r="A59" s="1" t="s">
        <v>23</v>
      </c>
      <c r="B59" s="1" t="s">
        <v>6</v>
      </c>
      <c r="C59" s="1" t="s">
        <v>8</v>
      </c>
      <c r="D59" s="1">
        <v>120000</v>
      </c>
      <c r="E59" s="1">
        <v>118000</v>
      </c>
      <c r="F59" s="1">
        <f t="shared" si="2"/>
        <v>-2000</v>
      </c>
      <c r="G59" s="4">
        <f t="shared" si="3"/>
        <v>-1.6666666666666666E-2</v>
      </c>
      <c r="H59" s="1" t="str">
        <f t="shared" si="0"/>
        <v>under budget</v>
      </c>
      <c r="I59" s="1" t="str">
        <f t="shared" si="4"/>
        <v>Expense</v>
      </c>
    </row>
    <row r="60" spans="1:9" x14ac:dyDescent="0.35">
      <c r="A60" s="1" t="s">
        <v>23</v>
      </c>
      <c r="B60" s="1" t="s">
        <v>9</v>
      </c>
      <c r="C60" s="1" t="s">
        <v>10</v>
      </c>
      <c r="D60" s="1">
        <v>215000</v>
      </c>
      <c r="E60" s="1">
        <v>220000</v>
      </c>
      <c r="F60" s="1">
        <f t="shared" si="2"/>
        <v>5000</v>
      </c>
      <c r="G60" s="4">
        <f t="shared" si="3"/>
        <v>2.3255813953488372E-2</v>
      </c>
      <c r="H60" s="1" t="str">
        <f t="shared" si="0"/>
        <v>over budget</v>
      </c>
      <c r="I60" s="1" t="str">
        <f t="shared" si="4"/>
        <v>Expense</v>
      </c>
    </row>
    <row r="61" spans="1:9" x14ac:dyDescent="0.35">
      <c r="A61" s="1" t="s">
        <v>23</v>
      </c>
      <c r="B61" s="1" t="s">
        <v>9</v>
      </c>
      <c r="C61" s="1" t="s">
        <v>11</v>
      </c>
      <c r="D61" s="1">
        <v>60000</v>
      </c>
      <c r="E61" s="1">
        <v>60000</v>
      </c>
      <c r="F61" s="1">
        <f t="shared" si="2"/>
        <v>0</v>
      </c>
      <c r="G61" s="4">
        <f t="shared" si="3"/>
        <v>0</v>
      </c>
      <c r="H61" s="1" t="str">
        <f t="shared" si="0"/>
        <v>on budget</v>
      </c>
      <c r="I61" s="1" t="str">
        <f t="shared" si="4"/>
        <v>Expense</v>
      </c>
    </row>
    <row r="62" spans="1:9" x14ac:dyDescent="0.35">
      <c r="A62" s="1" t="s">
        <v>23</v>
      </c>
      <c r="B62" s="1" t="s">
        <v>9</v>
      </c>
      <c r="C62" s="1" t="s">
        <v>12</v>
      </c>
      <c r="D62" s="1">
        <v>45000</v>
      </c>
      <c r="E62" s="1">
        <v>47000</v>
      </c>
      <c r="F62" s="1">
        <f t="shared" si="2"/>
        <v>2000</v>
      </c>
      <c r="G62" s="4">
        <f t="shared" si="3"/>
        <v>4.4444444444444446E-2</v>
      </c>
      <c r="H62" s="1" t="str">
        <f t="shared" si="0"/>
        <v>over budget</v>
      </c>
      <c r="I62" s="1" t="str">
        <f t="shared" si="4"/>
        <v>Expense</v>
      </c>
    </row>
    <row r="63" spans="1:9" x14ac:dyDescent="0.35">
      <c r="A63" s="1" t="s">
        <v>23</v>
      </c>
      <c r="B63" s="1" t="s">
        <v>13</v>
      </c>
      <c r="C63" s="1" t="s">
        <v>14</v>
      </c>
      <c r="D63" s="1">
        <v>62000</v>
      </c>
      <c r="E63" s="1">
        <v>60000</v>
      </c>
      <c r="F63" s="1">
        <f t="shared" si="2"/>
        <v>-2000</v>
      </c>
      <c r="G63" s="4">
        <f t="shared" si="3"/>
        <v>-3.2258064516129031E-2</v>
      </c>
      <c r="H63" s="1" t="str">
        <f t="shared" si="0"/>
        <v>under budget</v>
      </c>
      <c r="I63" s="1" t="str">
        <f t="shared" si="4"/>
        <v>Expense</v>
      </c>
    </row>
    <row r="64" spans="1:9" x14ac:dyDescent="0.35">
      <c r="A64" s="1" t="s">
        <v>23</v>
      </c>
      <c r="B64" s="1" t="s">
        <v>13</v>
      </c>
      <c r="C64" s="1" t="s">
        <v>15</v>
      </c>
      <c r="D64" s="1">
        <v>58000</v>
      </c>
      <c r="E64" s="1">
        <v>55000</v>
      </c>
      <c r="F64" s="1">
        <f t="shared" si="2"/>
        <v>-3000</v>
      </c>
      <c r="G64" s="4">
        <f t="shared" si="3"/>
        <v>-5.1724137931034482E-2</v>
      </c>
      <c r="H64" s="1" t="str">
        <f t="shared" si="0"/>
        <v>under budget</v>
      </c>
      <c r="I64" s="1" t="str">
        <f t="shared" si="4"/>
        <v>Expense</v>
      </c>
    </row>
    <row r="65" spans="1:9" x14ac:dyDescent="0.35">
      <c r="A65" s="1" t="s">
        <v>24</v>
      </c>
      <c r="B65" s="1" t="s">
        <v>6</v>
      </c>
      <c r="C65" s="1" t="s">
        <v>7</v>
      </c>
      <c r="D65" s="1">
        <v>720000</v>
      </c>
      <c r="E65" s="1">
        <v>735000</v>
      </c>
      <c r="F65" s="1">
        <f t="shared" si="2"/>
        <v>15000</v>
      </c>
      <c r="G65" s="4">
        <f t="shared" si="3"/>
        <v>2.0833333333333332E-2</v>
      </c>
      <c r="H65" s="1" t="str">
        <f t="shared" si="0"/>
        <v>over budget</v>
      </c>
      <c r="I65" s="1" t="str">
        <f t="shared" si="4"/>
        <v>Revenue</v>
      </c>
    </row>
    <row r="66" spans="1:9" x14ac:dyDescent="0.35">
      <c r="A66" s="1" t="s">
        <v>24</v>
      </c>
      <c r="B66" s="1" t="s">
        <v>6</v>
      </c>
      <c r="C66" s="1" t="s">
        <v>8</v>
      </c>
      <c r="D66" s="1">
        <v>125000</v>
      </c>
      <c r="E66" s="1">
        <v>130000</v>
      </c>
      <c r="F66" s="1">
        <f t="shared" si="2"/>
        <v>5000</v>
      </c>
      <c r="G66" s="4">
        <f t="shared" si="3"/>
        <v>0.04</v>
      </c>
      <c r="H66" s="1" t="str">
        <f t="shared" ref="H66:H85" si="5">IF(E66&gt;D66,"over budget",IF(E66&lt;D66,"under budget","on budget"))</f>
        <v>over budget</v>
      </c>
      <c r="I66" s="1" t="str">
        <f t="shared" ref="I66:I85" si="6">IF(C66="Revenue","Revenue","Expense")</f>
        <v>Expense</v>
      </c>
    </row>
    <row r="67" spans="1:9" x14ac:dyDescent="0.35">
      <c r="A67" s="1" t="s">
        <v>24</v>
      </c>
      <c r="B67" s="1" t="s">
        <v>9</v>
      </c>
      <c r="C67" s="1" t="s">
        <v>10</v>
      </c>
      <c r="D67" s="1">
        <v>220000</v>
      </c>
      <c r="E67" s="1">
        <v>225000</v>
      </c>
      <c r="F67" s="1">
        <f t="shared" ref="F67:F85" si="7">E67-D67</f>
        <v>5000</v>
      </c>
      <c r="G67" s="4">
        <f t="shared" ref="G67:G85" si="8">(E67-D67)/D67</f>
        <v>2.2727272727272728E-2</v>
      </c>
      <c r="H67" s="1" t="str">
        <f t="shared" si="5"/>
        <v>over budget</v>
      </c>
      <c r="I67" s="1" t="str">
        <f t="shared" si="6"/>
        <v>Expense</v>
      </c>
    </row>
    <row r="68" spans="1:9" x14ac:dyDescent="0.35">
      <c r="A68" s="1" t="s">
        <v>24</v>
      </c>
      <c r="B68" s="1" t="s">
        <v>9</v>
      </c>
      <c r="C68" s="1" t="s">
        <v>11</v>
      </c>
      <c r="D68" s="1">
        <v>60000</v>
      </c>
      <c r="E68" s="1">
        <v>60000</v>
      </c>
      <c r="F68" s="1">
        <f t="shared" si="7"/>
        <v>0</v>
      </c>
      <c r="G68" s="4">
        <f t="shared" si="8"/>
        <v>0</v>
      </c>
      <c r="H68" s="1" t="str">
        <f t="shared" si="5"/>
        <v>on budget</v>
      </c>
      <c r="I68" s="1" t="str">
        <f t="shared" si="6"/>
        <v>Expense</v>
      </c>
    </row>
    <row r="69" spans="1:9" x14ac:dyDescent="0.35">
      <c r="A69" s="1" t="s">
        <v>24</v>
      </c>
      <c r="B69" s="1" t="s">
        <v>9</v>
      </c>
      <c r="C69" s="1" t="s">
        <v>12</v>
      </c>
      <c r="D69" s="1">
        <v>45000</v>
      </c>
      <c r="E69" s="1">
        <v>44000</v>
      </c>
      <c r="F69" s="1">
        <f t="shared" si="7"/>
        <v>-1000</v>
      </c>
      <c r="G69" s="4">
        <f t="shared" si="8"/>
        <v>-2.2222222222222223E-2</v>
      </c>
      <c r="H69" s="1" t="str">
        <f t="shared" si="5"/>
        <v>under budget</v>
      </c>
      <c r="I69" s="1" t="str">
        <f t="shared" si="6"/>
        <v>Expense</v>
      </c>
    </row>
    <row r="70" spans="1:9" x14ac:dyDescent="0.35">
      <c r="A70" s="1" t="s">
        <v>24</v>
      </c>
      <c r="B70" s="1" t="s">
        <v>13</v>
      </c>
      <c r="C70" s="1" t="s">
        <v>14</v>
      </c>
      <c r="D70" s="1">
        <v>65000</v>
      </c>
      <c r="E70" s="1">
        <v>68000</v>
      </c>
      <c r="F70" s="1">
        <f t="shared" si="7"/>
        <v>3000</v>
      </c>
      <c r="G70" s="4">
        <f t="shared" si="8"/>
        <v>4.6153846153846156E-2</v>
      </c>
      <c r="H70" s="1" t="str">
        <f t="shared" si="5"/>
        <v>over budget</v>
      </c>
      <c r="I70" s="1" t="str">
        <f t="shared" si="6"/>
        <v>Expense</v>
      </c>
    </row>
    <row r="71" spans="1:9" x14ac:dyDescent="0.35">
      <c r="A71" s="1" t="s">
        <v>24</v>
      </c>
      <c r="B71" s="1" t="s">
        <v>13</v>
      </c>
      <c r="C71" s="1" t="s">
        <v>15</v>
      </c>
      <c r="D71" s="1">
        <v>60000</v>
      </c>
      <c r="E71" s="1">
        <v>62000</v>
      </c>
      <c r="F71" s="1">
        <f t="shared" si="7"/>
        <v>2000</v>
      </c>
      <c r="G71" s="4">
        <f t="shared" si="8"/>
        <v>3.3333333333333333E-2</v>
      </c>
      <c r="H71" s="1" t="str">
        <f t="shared" si="5"/>
        <v>over budget</v>
      </c>
      <c r="I71" s="1" t="str">
        <f t="shared" si="6"/>
        <v>Expense</v>
      </c>
    </row>
    <row r="72" spans="1:9" x14ac:dyDescent="0.35">
      <c r="A72" s="1" t="s">
        <v>25</v>
      </c>
      <c r="B72" s="1" t="s">
        <v>6</v>
      </c>
      <c r="C72" s="1" t="s">
        <v>7</v>
      </c>
      <c r="D72" s="1">
        <v>750000</v>
      </c>
      <c r="E72" s="1">
        <v>770000</v>
      </c>
      <c r="F72" s="1">
        <f t="shared" si="7"/>
        <v>20000</v>
      </c>
      <c r="G72" s="4">
        <f t="shared" si="8"/>
        <v>2.6666666666666668E-2</v>
      </c>
      <c r="H72" s="1" t="str">
        <f t="shared" si="5"/>
        <v>over budget</v>
      </c>
      <c r="I72" s="1" t="str">
        <f t="shared" si="6"/>
        <v>Revenue</v>
      </c>
    </row>
    <row r="73" spans="1:9" x14ac:dyDescent="0.35">
      <c r="A73" s="1" t="s">
        <v>25</v>
      </c>
      <c r="B73" s="1" t="s">
        <v>6</v>
      </c>
      <c r="C73" s="1" t="s">
        <v>8</v>
      </c>
      <c r="D73" s="1">
        <v>130000</v>
      </c>
      <c r="E73" s="1">
        <v>125000</v>
      </c>
      <c r="F73" s="1">
        <f t="shared" si="7"/>
        <v>-5000</v>
      </c>
      <c r="G73" s="4">
        <f t="shared" si="8"/>
        <v>-3.8461538461538464E-2</v>
      </c>
      <c r="H73" s="1" t="str">
        <f t="shared" si="5"/>
        <v>under budget</v>
      </c>
      <c r="I73" s="1" t="str">
        <f t="shared" si="6"/>
        <v>Expense</v>
      </c>
    </row>
    <row r="74" spans="1:9" x14ac:dyDescent="0.35">
      <c r="A74" s="1" t="s">
        <v>25</v>
      </c>
      <c r="B74" s="1" t="s">
        <v>9</v>
      </c>
      <c r="C74" s="1" t="s">
        <v>10</v>
      </c>
      <c r="D74" s="1">
        <v>225000</v>
      </c>
      <c r="E74" s="1">
        <v>230000</v>
      </c>
      <c r="F74" s="1">
        <f t="shared" si="7"/>
        <v>5000</v>
      </c>
      <c r="G74" s="4">
        <f t="shared" si="8"/>
        <v>2.2222222222222223E-2</v>
      </c>
      <c r="H74" s="1" t="str">
        <f t="shared" si="5"/>
        <v>over budget</v>
      </c>
      <c r="I74" s="1" t="str">
        <f t="shared" si="6"/>
        <v>Expense</v>
      </c>
    </row>
    <row r="75" spans="1:9" x14ac:dyDescent="0.35">
      <c r="A75" s="1" t="s">
        <v>25</v>
      </c>
      <c r="B75" s="1" t="s">
        <v>9</v>
      </c>
      <c r="C75" s="1" t="s">
        <v>11</v>
      </c>
      <c r="D75" s="1">
        <v>60000</v>
      </c>
      <c r="E75" s="1">
        <v>60000</v>
      </c>
      <c r="F75" s="1">
        <f t="shared" si="7"/>
        <v>0</v>
      </c>
      <c r="G75" s="4">
        <f t="shared" si="8"/>
        <v>0</v>
      </c>
      <c r="H75" s="1" t="str">
        <f t="shared" si="5"/>
        <v>on budget</v>
      </c>
      <c r="I75" s="1" t="str">
        <f t="shared" si="6"/>
        <v>Expense</v>
      </c>
    </row>
    <row r="76" spans="1:9" x14ac:dyDescent="0.35">
      <c r="A76" s="1" t="s">
        <v>25</v>
      </c>
      <c r="B76" s="1" t="s">
        <v>9</v>
      </c>
      <c r="C76" s="1" t="s">
        <v>12</v>
      </c>
      <c r="D76" s="1">
        <v>48000</v>
      </c>
      <c r="E76" s="1">
        <v>51000</v>
      </c>
      <c r="F76" s="1">
        <f t="shared" si="7"/>
        <v>3000</v>
      </c>
      <c r="G76" s="4">
        <f t="shared" si="8"/>
        <v>6.25E-2</v>
      </c>
      <c r="H76" s="1" t="str">
        <f t="shared" si="5"/>
        <v>over budget</v>
      </c>
      <c r="I76" s="1" t="str">
        <f t="shared" si="6"/>
        <v>Expense</v>
      </c>
    </row>
    <row r="77" spans="1:9" x14ac:dyDescent="0.35">
      <c r="A77" s="1" t="s">
        <v>25</v>
      </c>
      <c r="B77" s="1" t="s">
        <v>13</v>
      </c>
      <c r="C77" s="1" t="s">
        <v>14</v>
      </c>
      <c r="D77" s="1">
        <v>68000</v>
      </c>
      <c r="E77" s="1">
        <v>70000</v>
      </c>
      <c r="F77" s="1">
        <f t="shared" si="7"/>
        <v>2000</v>
      </c>
      <c r="G77" s="4">
        <f t="shared" si="8"/>
        <v>2.9411764705882353E-2</v>
      </c>
      <c r="H77" s="1" t="str">
        <f t="shared" si="5"/>
        <v>over budget</v>
      </c>
      <c r="I77" s="1" t="str">
        <f t="shared" si="6"/>
        <v>Expense</v>
      </c>
    </row>
    <row r="78" spans="1:9" x14ac:dyDescent="0.35">
      <c r="A78" s="1" t="s">
        <v>25</v>
      </c>
      <c r="B78" s="1" t="s">
        <v>13</v>
      </c>
      <c r="C78" s="1" t="s">
        <v>15</v>
      </c>
      <c r="D78" s="1">
        <v>62000</v>
      </c>
      <c r="E78" s="1">
        <v>59000</v>
      </c>
      <c r="F78" s="1">
        <f t="shared" si="7"/>
        <v>-3000</v>
      </c>
      <c r="G78" s="4">
        <f t="shared" si="8"/>
        <v>-4.8387096774193547E-2</v>
      </c>
      <c r="H78" s="1" t="str">
        <f t="shared" si="5"/>
        <v>under budget</v>
      </c>
      <c r="I78" s="1" t="str">
        <f t="shared" si="6"/>
        <v>Expense</v>
      </c>
    </row>
    <row r="79" spans="1:9" x14ac:dyDescent="0.35">
      <c r="A79" s="1" t="s">
        <v>26</v>
      </c>
      <c r="B79" s="1" t="s">
        <v>6</v>
      </c>
      <c r="C79" s="1" t="s">
        <v>7</v>
      </c>
      <c r="D79" s="1">
        <v>800000</v>
      </c>
      <c r="E79" s="1">
        <v>835000</v>
      </c>
      <c r="F79" s="1">
        <f t="shared" si="7"/>
        <v>35000</v>
      </c>
      <c r="G79" s="4">
        <f t="shared" si="8"/>
        <v>4.3749999999999997E-2</v>
      </c>
      <c r="H79" s="1" t="str">
        <f t="shared" si="5"/>
        <v>over budget</v>
      </c>
      <c r="I79" s="1" t="str">
        <f t="shared" si="6"/>
        <v>Revenue</v>
      </c>
    </row>
    <row r="80" spans="1:9" x14ac:dyDescent="0.35">
      <c r="A80" s="1" t="s">
        <v>26</v>
      </c>
      <c r="B80" s="1" t="s">
        <v>6</v>
      </c>
      <c r="C80" s="1" t="s">
        <v>8</v>
      </c>
      <c r="D80" s="1">
        <v>140000</v>
      </c>
      <c r="E80" s="1">
        <v>135000</v>
      </c>
      <c r="F80" s="1">
        <f t="shared" si="7"/>
        <v>-5000</v>
      </c>
      <c r="G80" s="4">
        <f t="shared" si="8"/>
        <v>-3.5714285714285712E-2</v>
      </c>
      <c r="H80" s="1" t="str">
        <f t="shared" si="5"/>
        <v>under budget</v>
      </c>
      <c r="I80" s="1" t="str">
        <f t="shared" si="6"/>
        <v>Expense</v>
      </c>
    </row>
    <row r="81" spans="1:9" x14ac:dyDescent="0.35">
      <c r="A81" s="1" t="s">
        <v>26</v>
      </c>
      <c r="B81" s="1" t="s">
        <v>9</v>
      </c>
      <c r="C81" s="1" t="s">
        <v>10</v>
      </c>
      <c r="D81" s="1">
        <v>230000</v>
      </c>
      <c r="E81" s="1">
        <v>235000</v>
      </c>
      <c r="F81" s="1">
        <f t="shared" si="7"/>
        <v>5000</v>
      </c>
      <c r="G81" s="4">
        <f t="shared" si="8"/>
        <v>2.1739130434782608E-2</v>
      </c>
      <c r="H81" s="1" t="str">
        <f t="shared" si="5"/>
        <v>over budget</v>
      </c>
      <c r="I81" s="1" t="str">
        <f t="shared" si="6"/>
        <v>Expense</v>
      </c>
    </row>
    <row r="82" spans="1:9" x14ac:dyDescent="0.35">
      <c r="A82" s="1" t="s">
        <v>26</v>
      </c>
      <c r="B82" s="1" t="s">
        <v>9</v>
      </c>
      <c r="C82" s="1" t="s">
        <v>11</v>
      </c>
      <c r="D82" s="1">
        <v>60000</v>
      </c>
      <c r="E82" s="1">
        <v>60000</v>
      </c>
      <c r="F82" s="1">
        <f t="shared" si="7"/>
        <v>0</v>
      </c>
      <c r="G82" s="4">
        <f t="shared" si="8"/>
        <v>0</v>
      </c>
      <c r="H82" s="1" t="str">
        <f t="shared" si="5"/>
        <v>on budget</v>
      </c>
      <c r="I82" s="1" t="str">
        <f t="shared" si="6"/>
        <v>Expense</v>
      </c>
    </row>
    <row r="83" spans="1:9" x14ac:dyDescent="0.35">
      <c r="A83" s="1" t="s">
        <v>26</v>
      </c>
      <c r="B83" s="1" t="s">
        <v>9</v>
      </c>
      <c r="C83" s="1" t="s">
        <v>12</v>
      </c>
      <c r="D83" s="1">
        <v>50000</v>
      </c>
      <c r="E83" s="1">
        <v>53000</v>
      </c>
      <c r="F83" s="1">
        <f t="shared" si="7"/>
        <v>3000</v>
      </c>
      <c r="G83" s="4">
        <f t="shared" si="8"/>
        <v>0.06</v>
      </c>
      <c r="H83" s="1" t="str">
        <f t="shared" si="5"/>
        <v>over budget</v>
      </c>
      <c r="I83" s="1" t="str">
        <f t="shared" si="6"/>
        <v>Expense</v>
      </c>
    </row>
    <row r="84" spans="1:9" x14ac:dyDescent="0.35">
      <c r="A84" s="1" t="s">
        <v>26</v>
      </c>
      <c r="B84" s="1" t="s">
        <v>13</v>
      </c>
      <c r="C84" s="1" t="s">
        <v>14</v>
      </c>
      <c r="D84" s="1">
        <v>70000</v>
      </c>
      <c r="E84" s="1">
        <v>73000</v>
      </c>
      <c r="F84" s="1">
        <f t="shared" si="7"/>
        <v>3000</v>
      </c>
      <c r="G84" s="4">
        <f t="shared" si="8"/>
        <v>4.2857142857142858E-2</v>
      </c>
      <c r="H84" s="1" t="str">
        <f t="shared" si="5"/>
        <v>over budget</v>
      </c>
      <c r="I84" s="1" t="str">
        <f t="shared" si="6"/>
        <v>Expense</v>
      </c>
    </row>
    <row r="85" spans="1:9" x14ac:dyDescent="0.35">
      <c r="A85" s="1" t="s">
        <v>26</v>
      </c>
      <c r="B85" s="1" t="s">
        <v>13</v>
      </c>
      <c r="C85" s="1" t="s">
        <v>15</v>
      </c>
      <c r="D85" s="1">
        <v>65000</v>
      </c>
      <c r="E85" s="1">
        <v>62000</v>
      </c>
      <c r="F85" s="1">
        <f t="shared" si="7"/>
        <v>-3000</v>
      </c>
      <c r="G85" s="4">
        <f t="shared" si="8"/>
        <v>-4.6153846153846156E-2</v>
      </c>
      <c r="H85" s="1" t="str">
        <f t="shared" si="5"/>
        <v>under budget</v>
      </c>
      <c r="I85" s="1" t="str">
        <f t="shared" si="6"/>
        <v>Expense</v>
      </c>
    </row>
  </sheetData>
  <conditionalFormatting sqref="H2:H85">
    <cfRule type="containsText" dxfId="8" priority="1" operator="containsText" text="under budget">
      <formula>NOT(ISERROR(SEARCH("under budget",H2)))</formula>
    </cfRule>
    <cfRule type="containsText" dxfId="7" priority="2" operator="containsText" text="over budget">
      <formula>NOT(ISERROR(SEARCH("over budget",H2)))</formula>
    </cfRule>
    <cfRule type="containsText" dxfId="6" priority="3" operator="containsText" text="on budget">
      <formula>NOT(ISERROR(SEARCH("on budget",H2)))</formula>
    </cfRule>
    <cfRule type="containsText" priority="4" operator="containsText" text="on budget">
      <formula>NOT(ISERROR(SEARCH("on budget",H2)))</formula>
    </cfRule>
    <cfRule type="containsText" dxfId="5" priority="5" operator="containsText" text="under buget">
      <formula>NOT(ISERROR(SEARCH("under buget",H2)))</formula>
    </cfRule>
    <cfRule type="containsText" dxfId="4" priority="6" operator="containsText" text="over buget">
      <formula>NOT(ISERROR(SEARCH("over buget",H2)))</formula>
    </cfRule>
    <cfRule type="containsText" dxfId="3" priority="7" operator="containsText" text="under buget">
      <formula>NOT(ISERROR(SEARCH("under buget",H2)))</formula>
    </cfRule>
    <cfRule type="containsText" dxfId="2" priority="8" operator="containsText" text="over badget">
      <formula>NOT(ISERROR(SEARCH("over badget",H2)))</formula>
    </cfRule>
    <cfRule type="containsText" dxfId="1" priority="9" operator="containsText" text="under badget">
      <formula>NOT(ISERROR(SEARCH("under badget",H2)))</formula>
    </cfRule>
    <cfRule type="containsText" dxfId="0" priority="10" operator="containsText" text="over badget">
      <formula>NOT(ISERROR(SEARCH("over badget",H2)))</formula>
    </cfRule>
    <cfRule type="colorScale" priority="11">
      <colorScale>
        <cfvo type="min"/>
        <cfvo type="percentile" val="50"/>
        <cfvo type="max"/>
        <color rgb="FFFF0000"/>
        <color rgb="FFFFFF00"/>
        <color rgb="FF00B050"/>
      </colorScale>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9E6A-6AB2-4D36-82D9-3AC88C970361}">
  <dimension ref="A1:H5"/>
  <sheetViews>
    <sheetView workbookViewId="0">
      <selection activeCell="G1" sqref="G1:H1"/>
    </sheetView>
  </sheetViews>
  <sheetFormatPr defaultRowHeight="14.5" x14ac:dyDescent="0.35"/>
  <cols>
    <col min="2" max="3" width="13.6328125" bestFit="1" customWidth="1"/>
    <col min="4" max="4" width="12.54296875" bestFit="1" customWidth="1"/>
    <col min="7" max="7" width="31.90625" bestFit="1" customWidth="1"/>
  </cols>
  <sheetData>
    <row r="1" spans="1:8" ht="18.5" x14ac:dyDescent="0.45">
      <c r="A1" t="s">
        <v>51</v>
      </c>
      <c r="B1" t="s">
        <v>3</v>
      </c>
      <c r="C1" t="s">
        <v>4</v>
      </c>
      <c r="D1" t="s">
        <v>27</v>
      </c>
      <c r="E1" t="s">
        <v>29</v>
      </c>
      <c r="G1" s="28" t="s">
        <v>53</v>
      </c>
      <c r="H1" s="28"/>
    </row>
    <row r="2" spans="1:8" x14ac:dyDescent="0.35">
      <c r="A2" t="s">
        <v>7</v>
      </c>
      <c r="B2" s="6">
        <f>SUMIFS(Table2[Budget],Table2[Type],A2)</f>
        <v>7670000</v>
      </c>
      <c r="C2" s="6">
        <f>SUMIFS(Table2[Actual],Table2[Type],A2)</f>
        <v>7830000</v>
      </c>
      <c r="D2" s="6">
        <f>C2-B2</f>
        <v>160000</v>
      </c>
      <c r="E2" s="7">
        <f>IFERROR(D2/B2,0)</f>
        <v>2.0860495436766623E-2</v>
      </c>
      <c r="G2" t="s">
        <v>54</v>
      </c>
      <c r="H2" t="s">
        <v>55</v>
      </c>
    </row>
    <row r="3" spans="1:8" x14ac:dyDescent="0.35">
      <c r="A3" t="s">
        <v>52</v>
      </c>
      <c r="B3" s="6">
        <f>SUMIFS(Table2[Budget],Table2[Type],A3)</f>
        <v>6218000</v>
      </c>
      <c r="C3" s="6">
        <f>SUMIFS(Table2[Actual],Table2[Type],A3)</f>
        <v>6302000</v>
      </c>
      <c r="D3" s="6">
        <f>C3-B3</f>
        <v>84000</v>
      </c>
      <c r="E3" s="7">
        <f>IFERROR(D3/B3,0)</f>
        <v>1.3509166934705693E-2</v>
      </c>
      <c r="G3" t="s">
        <v>56</v>
      </c>
      <c r="H3" t="s">
        <v>57</v>
      </c>
    </row>
    <row r="4" spans="1:8" x14ac:dyDescent="0.35">
      <c r="G4" t="s">
        <v>58</v>
      </c>
      <c r="H4" t="s">
        <v>59</v>
      </c>
    </row>
    <row r="5" spans="1:8" x14ac:dyDescent="0.35">
      <c r="G5" t="s">
        <v>60</v>
      </c>
      <c r="H5" t="s">
        <v>61</v>
      </c>
    </row>
  </sheetData>
  <mergeCells count="1">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budgetactual </vt:lpstr>
      <vt:lpstr>department</vt:lpstr>
      <vt:lpstr>category</vt:lpstr>
      <vt:lpstr>month</vt:lpstr>
      <vt:lpstr>budget</vt:lpstr>
      <vt:lpstr>dashboard</vt:lpstr>
      <vt:lpstr>monthvariance</vt:lpstr>
      <vt:lpstr>KPI Helper</vt:lpstr>
      <vt:lpstr>original data</vt:lpstr>
      <vt:lpstr>Financial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THALLA SATHVIKA</dc:creator>
  <cp:lastModifiedBy>THALLA SATHVIKA</cp:lastModifiedBy>
  <dcterms:created xsi:type="dcterms:W3CDTF">2026-10-03T15:11:28Z</dcterms:created>
  <dcterms:modified xsi:type="dcterms:W3CDTF">2026-10-15T18:08:22Z</dcterms:modified>
</cp:coreProperties>
</file>